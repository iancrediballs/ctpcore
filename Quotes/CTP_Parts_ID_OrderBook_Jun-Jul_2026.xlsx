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xl/media/image3.jpeg" ContentType="image/jpeg"/>
  <Override PartName="/xl/media/image4.jpeg" ContentType="image/jpeg"/>
  <Override PartName="/xl/media/image5.jpeg" ContentType="image/jpeg"/>
  <Override PartName="/xl/media/image10.jpeg" ContentType="image/jpeg"/>
  <Override PartName="/xl/media/image6.jpeg" ContentType="image/jpeg"/>
  <Override PartName="/xl/media/image11.jpeg" ContentType="image/jpeg"/>
  <Override PartName="/xl/media/image7.jpeg" ContentType="image/jpeg"/>
  <Override PartName="/xl/media/image12.jpeg" ContentType="image/jpeg"/>
  <Override PartName="/xl/media/image8.jpeg" ContentType="image/jpeg"/>
  <Override PartName="/xl/media/image13.jpeg" ContentType="image/jpeg"/>
  <Override PartName="/xl/media/image9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s ID — Order Boo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<sst xmlns="http://schemas.openxmlformats.org/spreadsheetml/2006/main" count="143" uniqueCount="105">
  <si>
    <t xml:space="preserve">CTP CORE   ·   PARTS IDENTIFICATION — ORDER BOOK</t>
  </si>
  <si>
    <t xml:space="preserve">China Truck Parts   |   FAW JH6 (28-500FT) parts range   |   handwritten order book — June &amp; July 2026</t>
  </si>
  <si>
    <t xml:space="preserve">SOURCE</t>
  </si>
  <si>
    <t xml:space="preserve">Handwritten order book page (scanned PDF, 17 Jul 2026)</t>
  </si>
  <si>
    <t xml:space="preserve">ORDERS</t>
  </si>
  <si>
    <t xml:space="preserve">21195 · 21232 · 21261 · 21238</t>
  </si>
  <si>
    <t xml:space="preserve">VEHICLE</t>
  </si>
  <si>
    <t xml:space="preserve">FAW JH6 (28-500FT)</t>
  </si>
  <si>
    <t xml:space="preserve">DATE</t>
  </si>
  <si>
    <t xml:space="preserve">21 Jul 2026</t>
  </si>
  <si>
    <t xml:space="preserve">MATCHED AGAINST</t>
  </si>
  <si>
    <t xml:space="preserve">JH6 Shipment-01 inventory + CTP catalogue</t>
  </si>
  <si>
    <t xml:space="preserve">PREPARED BY</t>
  </si>
  <si>
    <t xml:space="preserve">CTP Core</t>
  </si>
  <si>
    <t xml:space="preserve">#</t>
  </si>
  <si>
    <t xml:space="preserve">Written in order book</t>
  </si>
  <si>
    <t xml:space="preserve">Identified part</t>
  </si>
  <si>
    <t xml:space="preserve">CTP part no.</t>
  </si>
  <si>
    <t xml:space="preserve">OEM / Inv. part no.</t>
  </si>
  <si>
    <t xml:space="preserve">Photo</t>
  </si>
  <si>
    <t xml:space="preserve">Qty</t>
  </si>
  <si>
    <t xml:space="preserve">Invoiced R</t>
  </si>
  <si>
    <t xml:space="preserve">In stock</t>
  </si>
  <si>
    <t xml:space="preserve">Confidence</t>
  </si>
  <si>
    <t xml:space="preserve">Notes / to confirm</t>
  </si>
  <si>
    <t xml:space="preserve">JUNE — ORDER No. 21195      ·      Both lines marked '+ VAT' in the book.</t>
  </si>
  <si>
    <t xml:space="preserve">Cab Complete</t>
  </si>
  <si>
    <t xml:space="preserve">Cab Weld Assembly — complete cab</t>
  </si>
  <si>
    <t xml:space="preserve">CTP-CBY-001-C</t>
  </si>
  <si>
    <t xml:space="preserve">5000020-H02-001</t>
  </si>
  <si>
    <t xml:space="preserve">no cutout yet</t>
  </si>
  <si>
    <t xml:space="preserve">CONFIRM</t>
  </si>
  <si>
    <t xml:space="preserve">Sold as 'Cab Complete'. Nearest stock line is the Cab Weld Assembly (bare cab shell, landed R98,221.75). Only 1 shell in shipment stock but a cab appears on 3 orders — confirm build-up/source per cab. No cutout photo yet.</t>
  </si>
  <si>
    <t xml:space="preserve">Aerokit Dome</t>
  </si>
  <si>
    <t xml:space="preserve">Roof Deflector Assembly</t>
  </si>
  <si>
    <t xml:space="preserve">CTP-DEF-006-C</t>
  </si>
  <si>
    <t xml:space="preserve">5704111CB45-G</t>
  </si>
  <si>
    <t xml:space="preserve">HIGH</t>
  </si>
  <si>
    <t xml:space="preserve">Aerokit roof dome = main roof deflector of the aero kit.</t>
  </si>
  <si>
    <t xml:space="preserve">Order total (as written)</t>
  </si>
  <si>
    <t xml:space="preserve">JUNE — ORDER No. 21232   (Hermans Truck Accident Repairs — see quote CTP_Quote_21232_Hermans)</t>
  </si>
  <si>
    <t xml:space="preserve">Cab Lock</t>
  </si>
  <si>
    <t xml:space="preserve">Cab Hydraulic Lock Assembly L/H</t>
  </si>
  <si>
    <t xml:space="preserve">CTP-SUS-001-L</t>
  </si>
  <si>
    <t xml:space="preserve">5004055-79H-C00</t>
  </si>
  <si>
    <t xml:space="preserve">Hydraulic cab-tilt lock assembly — same unit confirmed on the Hermans quote.</t>
  </si>
  <si>
    <t xml:space="preserve">L/H Lower Step Box Inspection Flap (L)</t>
  </si>
  <si>
    <t xml:space="preserve">Step Decorative Cover Small Door</t>
  </si>
  <si>
    <t xml:space="preserve">CTP-STP-007-C</t>
  </si>
  <si>
    <t xml:space="preserve">5103052-1063-G</t>
  </si>
  <si>
    <t xml:space="preserve">Hinged access flap on the step — as identified on the Hermans quote.</t>
  </si>
  <si>
    <t xml:space="preserve">L/H Lower Step Box (L)</t>
  </si>
  <si>
    <t xml:space="preserve">Step Decorative Cover L/H</t>
  </si>
  <si>
    <t xml:space="preserve">CTP-STP-002-L</t>
  </si>
  <si>
    <t xml:space="preserve">5103021-1544-G</t>
  </si>
  <si>
    <t xml:space="preserve">Step decorative cover L/H — as identified on the Hermans quote.</t>
  </si>
  <si>
    <t xml:space="preserve">L/H Headlamp (L)</t>
  </si>
  <si>
    <t xml:space="preserve">Front Combination Lamp L/H Assembly</t>
  </si>
  <si>
    <t xml:space="preserve">CTP-LGT-001-L</t>
  </si>
  <si>
    <t xml:space="preserve">3711015-1544</t>
  </si>
  <si>
    <t xml:space="preserve">Headlight + indicator combination lamp.</t>
  </si>
  <si>
    <t xml:space="preserve">Centre Bumper Spoiler (L)</t>
  </si>
  <si>
    <t xml:space="preserve">Front Bumper Centre Spoiler</t>
  </si>
  <si>
    <t xml:space="preserve">CTP-BMP-010-C</t>
  </si>
  <si>
    <t xml:space="preserve">2803731B1063-G</t>
  </si>
  <si>
    <t xml:space="preserve">Centre lower spoiler section.</t>
  </si>
  <si>
    <t xml:space="preserve">JULY — ORDER No. 21261</t>
  </si>
  <si>
    <t xml:space="preserve">L/H Bumper Spoiler</t>
  </si>
  <si>
    <t xml:space="preserve">Front Bumper L/H Spoiler</t>
  </si>
  <si>
    <t xml:space="preserve">CTP-BMP-007-L</t>
  </si>
  <si>
    <t xml:space="preserve">2803721B1063-G</t>
  </si>
  <si>
    <t xml:space="preserve">L/H Bumper</t>
  </si>
  <si>
    <t xml:space="preserve">Front Bumper L/H Assembly</t>
  </si>
  <si>
    <t xml:space="preserve">CTP-BMP-001-L</t>
  </si>
  <si>
    <t xml:space="preserve">2803035B1063-DQ</t>
  </si>
  <si>
    <t xml:space="preserve">-DQ variant as received in Shipment-01.</t>
  </si>
  <si>
    <t xml:space="preserve">L/H Bumper End Trim</t>
  </si>
  <si>
    <t xml:space="preserve">Front Bumper L/H Decorative Panel</t>
  </si>
  <si>
    <t xml:space="preserve">CTP-BMP-005-L</t>
  </si>
  <si>
    <t xml:space="preserve">2803031B1063-G</t>
  </si>
  <si>
    <t xml:space="preserve">'End trim' read as the bumper-end decorative panel — confirm against photo (alternative: centre-lower L/H panel CTP-BMP-020-L).</t>
  </si>
  <si>
    <t xml:space="preserve">L/H Bumper Frame</t>
  </si>
  <si>
    <t xml:space="preserve">Front Bumper L/H Bracket Assembly</t>
  </si>
  <si>
    <t xml:space="preserve">CTP-BMP-003-L</t>
  </si>
  <si>
    <t xml:space="preserve">2803645B1063</t>
  </si>
  <si>
    <t xml:space="preserve">Bumper mounting frame / bracket assembly.</t>
  </si>
  <si>
    <t xml:space="preserve">L/H Headlamp</t>
  </si>
  <si>
    <t xml:space="preserve">R/H Headlamp</t>
  </si>
  <si>
    <t xml:space="preserve">Front Combination Lamp R/H Assembly</t>
  </si>
  <si>
    <t xml:space="preserve">CTP-LGT-002-R</t>
  </si>
  <si>
    <t xml:space="preserve">3711020-1544</t>
  </si>
  <si>
    <t xml:space="preserve">R/H Bumper Frame</t>
  </si>
  <si>
    <t xml:space="preserve">Front Bumper R/H Bracket Assembly</t>
  </si>
  <si>
    <t xml:space="preserve">CTP-BMP-004-R</t>
  </si>
  <si>
    <t xml:space="preserve">2803650B1063</t>
  </si>
  <si>
    <t xml:space="preserve">Written over a struck-out 'B…' — read as Bumper Frame R/H.</t>
  </si>
  <si>
    <t xml:space="preserve">JULY — ORDER No. 21238</t>
  </si>
  <si>
    <t xml:space="preserve">R/H Side Panel Skin</t>
  </si>
  <si>
    <t xml:space="preserve">R/H Side Outer Panel Assembly</t>
  </si>
  <si>
    <t xml:space="preserve">CTP-CBY-008-R</t>
  </si>
  <si>
    <t xml:space="preserve">5400020-H02</t>
  </si>
  <si>
    <t xml:space="preserve">Best fit = full R/H side outer panel assembly; confirm 'skin' doesn't mean a repair skin section only.</t>
  </si>
  <si>
    <t xml:space="preserve">Invoiced R16,274.08 on 21195 but re-priced here: R16,274.08 struck out, R7,600.00 written in.</t>
  </si>
  <si>
    <t xml:space="preserve">GRAND TOTAL — 4 orders (as written in book)</t>
  </si>
  <si>
    <t xml:space="preserve">Prices are the amounts written in the order book (assumed excl. VAT — 21195 lines are marked '+ VAT'). 'In stock' = JH6 Shipment-01 receipt quantity, before these sales. Photos are CTP catalogue cutouts for identification only. Qty read as 1 per line ('1-e' tick in book).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</si>
</sst>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 &quot;#,##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9"/>
      <color rgb="FFCDD9EC"/>
      <name val="Arial"/>
      <family val="0"/>
      <charset val="1"/>
    </font>
    <font>
      <b val="true"/>
      <sz val="8"/>
      <color rgb="FFC8102E"/>
      <name val="Arial"/>
      <family val="0"/>
      <charset val="1"/>
    </font>
    <font>
      <sz val="10"/>
      <color rgb="FF1A223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A2238"/>
      <name val="Arial"/>
      <family val="0"/>
      <charset val="1"/>
    </font>
    <font>
      <b val="true"/>
      <sz val="9"/>
      <color rgb="FF0D2148"/>
      <name val="Arial"/>
      <family val="0"/>
      <charset val="1"/>
    </font>
    <font>
      <sz val="9"/>
      <color rgb="FF6A7790"/>
      <name val="Arial"/>
      <family val="0"/>
      <charset val="1"/>
    </font>
    <font>
      <i val="true"/>
      <sz val="8"/>
      <color rgb="FF6A7790"/>
      <name val="Arial"/>
      <family val="0"/>
      <charset val="1"/>
    </font>
    <font>
      <b val="true"/>
      <sz val="8"/>
      <color rgb="FF7A5B00"/>
      <name val="Arial"/>
      <family val="0"/>
      <charset val="1"/>
    </font>
    <font>
      <sz val="9"/>
      <color rgb="FF7A5B00"/>
      <name val="Arial"/>
      <family val="0"/>
      <charset val="1"/>
    </font>
    <font>
      <b val="true"/>
      <sz val="8"/>
      <color rgb="FF1C5E38"/>
      <name val="Arial"/>
      <family val="0"/>
      <charset val="1"/>
    </font>
    <font>
      <sz val="9"/>
      <color rgb="FF1A2238"/>
      <name val="Arial"/>
      <family val="0"/>
      <charset val="1"/>
    </font>
    <font>
      <b val="true"/>
      <sz val="10"/>
      <color rgb="FF0D214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8"/>
      <color rgb="FF6A779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D2148"/>
        <bgColor rgb="FF1A2238"/>
      </patternFill>
    </fill>
    <fill>
      <patternFill patternType="solid">
        <fgColor rgb="FF1E3A6E"/>
        <bgColor rgb="FF333399"/>
      </patternFill>
    </fill>
    <fill>
      <patternFill patternType="solid">
        <fgColor rgb="FFF4F7FC"/>
        <bgColor rgb="FFF7F9FC"/>
      </patternFill>
    </fill>
    <fill>
      <patternFill patternType="solid">
        <fgColor rgb="FFFEF5EC"/>
        <bgColor rgb="FFF7F9FC"/>
      </patternFill>
    </fill>
    <fill>
      <patternFill patternType="solid">
        <fgColor rgb="FFE8F6EE"/>
        <bgColor rgb="FFF4F7FC"/>
      </patternFill>
    </fill>
    <fill>
      <patternFill patternType="solid">
        <fgColor rgb="FFF7F9FC"/>
        <bgColor rgb="FFF4F7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CE8"/>
      </left>
      <right style="thin">
        <color rgb="FFD5DCE8"/>
      </right>
      <top style="thin">
        <color rgb="FFD5DCE8"/>
      </top>
      <bottom style="thin">
        <color rgb="FFD5DC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1C5E38"/>
      <rgbColor rgb="FF000080"/>
      <rgbColor rgb="FF7A5B00"/>
      <rgbColor rgb="FF800080"/>
      <rgbColor rgb="FF008080"/>
      <rgbColor rgb="FFD5DCE8"/>
      <rgbColor rgb="FF808080"/>
      <rgbColor rgb="FF9999FF"/>
      <rgbColor rgb="FF993366"/>
      <rgbColor rgb="FFFEF5EC"/>
      <rgbColor rgb="FFE8F6EE"/>
      <rgbColor rgb="FF660066"/>
      <rgbColor rgb="FFFF8080"/>
      <rgbColor rgb="FF0066CC"/>
      <rgbColor rgb="FFCDD9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7FC"/>
      <rgbColor rgb="FFF7F9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7790"/>
      <rgbColor rgb="FF969696"/>
      <rgbColor rgb="FF1E3A6E"/>
      <rgbColor rgb="FF339966"/>
      <rgbColor rgb="FF0D2148"/>
      <rgbColor rgb="FF333300"/>
      <rgbColor rgb="FF993300"/>
      <rgbColor rgb="FF993366"/>
      <rgbColor rgb="FF333399"/>
      <rgbColor rgb="FF1A2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5.jpeg"/><Relationship Id="rId12" Type="http://schemas.openxmlformats.org/officeDocument/2006/relationships/image" Target="../media/image11.jpeg"/><Relationship Id="rId13" Type="http://schemas.openxmlformats.org/officeDocument/2006/relationships/image" Target="../media/image12.jpeg"/><Relationship Id="rId14" Type="http://schemas.openxmlformats.org/officeDocument/2006/relationships/image" Target="../media/image13.jpeg"/><Relationship Id="rId15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9</xdr:row>
      <xdr:rowOff>0</xdr:rowOff>
    </xdr:from>
    <xdr:to>
      <xdr:col>5</xdr:col>
      <xdr:colOff>914040</xdr:colOff>
      <xdr:row>9</xdr:row>
      <xdr:rowOff>914040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7048440" y="302904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914040</xdr:colOff>
      <xdr:row>13</xdr:row>
      <xdr:rowOff>914040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7048440" y="552456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914040</xdr:colOff>
      <xdr:row>14</xdr:row>
      <xdr:rowOff>914040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7048440" y="653400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914040</xdr:colOff>
      <xdr:row>15</xdr:row>
      <xdr:rowOff>914040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7048440" y="754380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914040</xdr:colOff>
      <xdr:row>16</xdr:row>
      <xdr:rowOff>914040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7048440" y="855360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914040</xdr:colOff>
      <xdr:row>17</xdr:row>
      <xdr:rowOff>914040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7048440" y="956304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914040</xdr:colOff>
      <xdr:row>21</xdr:row>
      <xdr:rowOff>914040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7048440" y="1205856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914040</xdr:colOff>
      <xdr:row>22</xdr:row>
      <xdr:rowOff>914040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7048440" y="1306836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914040</xdr:colOff>
      <xdr:row>23</xdr:row>
      <xdr:rowOff>914040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7048440" y="1407780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914040</xdr:colOff>
      <xdr:row>24</xdr:row>
      <xdr:rowOff>914040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7048440" y="1508760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914040</xdr:colOff>
      <xdr:row>25</xdr:row>
      <xdr:rowOff>914040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7048440" y="1609740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914040</xdr:colOff>
      <xdr:row>26</xdr:row>
      <xdr:rowOff>914040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7048440" y="1710684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914040</xdr:colOff>
      <xdr:row>27</xdr:row>
      <xdr:rowOff>914040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7048440" y="1811664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914040</xdr:colOff>
      <xdr:row>30</xdr:row>
      <xdr:rowOff>609120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7048440" y="19602360"/>
          <a:ext cx="91404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914040</xdr:colOff>
      <xdr:row>31</xdr:row>
      <xdr:rowOff>914040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7048440" y="20612160"/>
          <a:ext cx="914040" cy="914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32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6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4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8" hidden="false" customHeight="true" outlineLevel="0" collapsed="false">
      <c r="A3" s="3" t="s">
        <v>2</v>
      </c>
      <c r="B3" s="4" t="s">
        <v>3</v>
      </c>
      <c r="C3" s="4"/>
      <c r="D3" s="4"/>
      <c r="E3" s="4"/>
      <c r="F3" s="3" t="s">
        <v>4</v>
      </c>
      <c r="G3" s="4" t="s">
        <v>5</v>
      </c>
      <c r="H3" s="4"/>
      <c r="I3" s="4"/>
      <c r="J3" s="4"/>
      <c r="K3" s="4"/>
    </row>
    <row r="4" customFormat="false" ht="18" hidden="false" customHeight="true" outlineLevel="0" collapsed="false">
      <c r="A4" s="3" t="s">
        <v>6</v>
      </c>
      <c r="B4" s="4" t="s">
        <v>7</v>
      </c>
      <c r="C4" s="4"/>
      <c r="D4" s="4"/>
      <c r="E4" s="4"/>
      <c r="F4" s="3" t="s">
        <v>8</v>
      </c>
      <c r="G4" s="4" t="s">
        <v>9</v>
      </c>
      <c r="H4" s="4"/>
      <c r="I4" s="4"/>
      <c r="J4" s="4"/>
      <c r="K4" s="4"/>
    </row>
    <row r="5" customFormat="false" ht="18" hidden="false" customHeight="true" outlineLevel="0" collapsed="false">
      <c r="A5" s="3" t="s">
        <v>10</v>
      </c>
      <c r="B5" s="4" t="s">
        <v>11</v>
      </c>
      <c r="C5" s="4"/>
      <c r="D5" s="4"/>
      <c r="E5" s="4"/>
      <c r="F5" s="3" t="s">
        <v>12</v>
      </c>
      <c r="G5" s="4" t="s">
        <v>13</v>
      </c>
      <c r="H5" s="4"/>
      <c r="I5" s="4"/>
      <c r="J5" s="4"/>
      <c r="K5" s="4"/>
    </row>
    <row r="6" customFormat="false" ht="6" hidden="false" customHeight="true" outlineLevel="0" collapsed="false"/>
    <row r="7" customFormat="false" ht="25.5" hidden="false" customHeight="true" outlineLevel="0" collapsed="false">
      <c r="A7" s="5" t="s">
        <v>14</v>
      </c>
      <c r="B7" s="6" t="s">
        <v>15</v>
      </c>
      <c r="C7" s="6" t="s">
        <v>16</v>
      </c>
      <c r="D7" s="6" t="s">
        <v>17</v>
      </c>
      <c r="E7" s="6" t="s">
        <v>18</v>
      </c>
      <c r="F7" s="6" t="s">
        <v>19</v>
      </c>
      <c r="G7" s="6" t="s">
        <v>20</v>
      </c>
      <c r="H7" s="6" t="s">
        <v>21</v>
      </c>
      <c r="I7" s="6" t="s">
        <v>22</v>
      </c>
      <c r="J7" s="6" t="s">
        <v>23</v>
      </c>
      <c r="K7" s="6" t="s">
        <v>24</v>
      </c>
    </row>
    <row r="8" customFormat="false" ht="19.5" hidden="false" customHeight="true" outlineLevel="0" collapsed="false">
      <c r="A8" s="7" t="s">
        <v>25</v>
      </c>
      <c r="B8" s="7"/>
      <c r="C8" s="7"/>
      <c r="D8" s="7"/>
      <c r="E8" s="7"/>
      <c r="F8" s="7"/>
      <c r="G8" s="7"/>
      <c r="H8" s="7"/>
      <c r="I8" s="7"/>
      <c r="J8" s="7"/>
      <c r="K8" s="7"/>
    </row>
    <row r="9" customFormat="false" ht="79.5" hidden="false" customHeight="true" outlineLevel="0" collapsed="false">
      <c r="A9" s="8" t="n">
        <v>1</v>
      </c>
      <c r="B9" s="9" t="s">
        <v>26</v>
      </c>
      <c r="C9" s="9" t="s">
        <v>27</v>
      </c>
      <c r="D9" s="10" t="s">
        <v>28</v>
      </c>
      <c r="E9" s="11" t="s">
        <v>29</v>
      </c>
      <c r="F9" s="12" t="s">
        <v>30</v>
      </c>
      <c r="G9" s="13" t="n">
        <v>1</v>
      </c>
      <c r="H9" s="14" t="n">
        <v>380000</v>
      </c>
      <c r="I9" s="13" t="n">
        <v>1</v>
      </c>
      <c r="J9" s="15" t="s">
        <v>31</v>
      </c>
      <c r="K9" s="16" t="s">
        <v>32</v>
      </c>
    </row>
    <row r="10" customFormat="false" ht="79.5" hidden="false" customHeight="true" outlineLevel="0" collapsed="false">
      <c r="A10" s="8" t="n">
        <v>2</v>
      </c>
      <c r="B10" s="9" t="s">
        <v>33</v>
      </c>
      <c r="C10" s="9" t="s">
        <v>34</v>
      </c>
      <c r="D10" s="10" t="s">
        <v>35</v>
      </c>
      <c r="E10" s="11" t="s">
        <v>36</v>
      </c>
      <c r="F10" s="17"/>
      <c r="G10" s="13" t="n">
        <v>1</v>
      </c>
      <c r="H10" s="14" t="n">
        <v>16274.08</v>
      </c>
      <c r="I10" s="13" t="n">
        <v>3</v>
      </c>
      <c r="J10" s="18" t="s">
        <v>37</v>
      </c>
      <c r="K10" s="19" t="s">
        <v>38</v>
      </c>
    </row>
    <row r="11" customFormat="false" ht="18" hidden="false" customHeight="true" outlineLevel="0" collapsed="false">
      <c r="A11" s="20" t="s">
        <v>39</v>
      </c>
      <c r="B11" s="20"/>
      <c r="C11" s="20"/>
      <c r="D11" s="20"/>
      <c r="E11" s="20"/>
      <c r="F11" s="20"/>
      <c r="G11" s="20"/>
      <c r="H11" s="21" t="n">
        <f aca="false">SUM(H9:H10)</f>
        <v>396274.08</v>
      </c>
      <c r="I11" s="22"/>
      <c r="J11" s="22"/>
      <c r="K11" s="22"/>
    </row>
    <row r="12" customFormat="false" ht="19.5" hidden="false" customHeight="true" outlineLevel="0" collapsed="false">
      <c r="A12" s="7" t="s">
        <v>40</v>
      </c>
      <c r="B12" s="7"/>
      <c r="C12" s="7"/>
      <c r="D12" s="7"/>
      <c r="E12" s="7"/>
      <c r="F12" s="7"/>
      <c r="G12" s="7"/>
      <c r="H12" s="7"/>
      <c r="I12" s="7"/>
      <c r="J12" s="7"/>
      <c r="K12" s="7"/>
    </row>
    <row r="13" customFormat="false" ht="79.5" hidden="false" customHeight="true" outlineLevel="0" collapsed="false">
      <c r="A13" s="8" t="n">
        <v>1</v>
      </c>
      <c r="B13" s="9" t="s">
        <v>26</v>
      </c>
      <c r="C13" s="9" t="s">
        <v>27</v>
      </c>
      <c r="D13" s="10" t="s">
        <v>28</v>
      </c>
      <c r="E13" s="11" t="s">
        <v>29</v>
      </c>
      <c r="F13" s="12" t="s">
        <v>30</v>
      </c>
      <c r="G13" s="13" t="n">
        <v>1</v>
      </c>
      <c r="H13" s="14" t="n">
        <v>380000</v>
      </c>
      <c r="I13" s="13" t="n">
        <v>1</v>
      </c>
      <c r="J13" s="15" t="s">
        <v>31</v>
      </c>
      <c r="K13" s="16" t="s">
        <v>32</v>
      </c>
    </row>
    <row r="14" customFormat="false" ht="79.5" hidden="false" customHeight="true" outlineLevel="0" collapsed="false">
      <c r="A14" s="8" t="n">
        <v>2</v>
      </c>
      <c r="B14" s="9" t="s">
        <v>41</v>
      </c>
      <c r="C14" s="9" t="s">
        <v>42</v>
      </c>
      <c r="D14" s="10" t="s">
        <v>43</v>
      </c>
      <c r="E14" s="11" t="s">
        <v>44</v>
      </c>
      <c r="F14" s="17"/>
      <c r="G14" s="13" t="n">
        <v>1</v>
      </c>
      <c r="H14" s="14" t="n">
        <v>2739.64</v>
      </c>
      <c r="I14" s="13" t="n">
        <v>6</v>
      </c>
      <c r="J14" s="18" t="s">
        <v>37</v>
      </c>
      <c r="K14" s="19" t="s">
        <v>45</v>
      </c>
    </row>
    <row r="15" customFormat="false" ht="79.5" hidden="false" customHeight="true" outlineLevel="0" collapsed="false">
      <c r="A15" s="8" t="n">
        <v>3</v>
      </c>
      <c r="B15" s="9" t="s">
        <v>46</v>
      </c>
      <c r="C15" s="9" t="s">
        <v>47</v>
      </c>
      <c r="D15" s="10" t="s">
        <v>48</v>
      </c>
      <c r="E15" s="11" t="s">
        <v>49</v>
      </c>
      <c r="F15" s="17"/>
      <c r="G15" s="13" t="n">
        <v>1</v>
      </c>
      <c r="H15" s="14" t="n">
        <v>198.39</v>
      </c>
      <c r="I15" s="13" t="n">
        <v>5</v>
      </c>
      <c r="J15" s="18" t="s">
        <v>37</v>
      </c>
      <c r="K15" s="19" t="s">
        <v>50</v>
      </c>
    </row>
    <row r="16" customFormat="false" ht="79.5" hidden="false" customHeight="true" outlineLevel="0" collapsed="false">
      <c r="A16" s="8" t="n">
        <v>4</v>
      </c>
      <c r="B16" s="9" t="s">
        <v>51</v>
      </c>
      <c r="C16" s="9" t="s">
        <v>52</v>
      </c>
      <c r="D16" s="10" t="s">
        <v>53</v>
      </c>
      <c r="E16" s="11" t="s">
        <v>54</v>
      </c>
      <c r="F16" s="17"/>
      <c r="G16" s="13" t="n">
        <v>1</v>
      </c>
      <c r="H16" s="14" t="n">
        <v>811.24</v>
      </c>
      <c r="I16" s="13" t="n">
        <v>10</v>
      </c>
      <c r="J16" s="18" t="s">
        <v>37</v>
      </c>
      <c r="K16" s="19" t="s">
        <v>55</v>
      </c>
    </row>
    <row r="17" customFormat="false" ht="79.5" hidden="false" customHeight="true" outlineLevel="0" collapsed="false">
      <c r="A17" s="8" t="n">
        <v>5</v>
      </c>
      <c r="B17" s="9" t="s">
        <v>56</v>
      </c>
      <c r="C17" s="9" t="s">
        <v>57</v>
      </c>
      <c r="D17" s="10" t="s">
        <v>58</v>
      </c>
      <c r="E17" s="11" t="s">
        <v>59</v>
      </c>
      <c r="F17" s="17"/>
      <c r="G17" s="13" t="n">
        <v>1</v>
      </c>
      <c r="H17" s="14" t="n">
        <v>2473.48</v>
      </c>
      <c r="I17" s="13" t="n">
        <v>10</v>
      </c>
      <c r="J17" s="18" t="s">
        <v>37</v>
      </c>
      <c r="K17" s="19" t="s">
        <v>60</v>
      </c>
    </row>
    <row r="18" customFormat="false" ht="79.5" hidden="false" customHeight="true" outlineLevel="0" collapsed="false">
      <c r="A18" s="8" t="n">
        <v>6</v>
      </c>
      <c r="B18" s="9" t="s">
        <v>61</v>
      </c>
      <c r="C18" s="9" t="s">
        <v>62</v>
      </c>
      <c r="D18" s="10" t="s">
        <v>63</v>
      </c>
      <c r="E18" s="11" t="s">
        <v>64</v>
      </c>
      <c r="F18" s="17"/>
      <c r="G18" s="13" t="n">
        <v>1</v>
      </c>
      <c r="H18" s="14" t="n">
        <v>463.08</v>
      </c>
      <c r="I18" s="13" t="n">
        <v>10</v>
      </c>
      <c r="J18" s="18" t="s">
        <v>37</v>
      </c>
      <c r="K18" s="19" t="s">
        <v>65</v>
      </c>
    </row>
    <row r="19" customFormat="false" ht="18" hidden="false" customHeight="true" outlineLevel="0" collapsed="false">
      <c r="A19" s="20" t="s">
        <v>39</v>
      </c>
      <c r="B19" s="20"/>
      <c r="C19" s="20"/>
      <c r="D19" s="20"/>
      <c r="E19" s="20"/>
      <c r="F19" s="20"/>
      <c r="G19" s="20"/>
      <c r="H19" s="21" t="n">
        <f aca="false">SUM(H13:H18)</f>
        <v>386685.83</v>
      </c>
      <c r="I19" s="22"/>
      <c r="J19" s="22"/>
      <c r="K19" s="22"/>
    </row>
    <row r="20" customFormat="false" ht="19.5" hidden="false" customHeight="true" outlineLevel="0" collapsed="false">
      <c r="A20" s="7" t="s">
        <v>66</v>
      </c>
      <c r="B20" s="7"/>
      <c r="C20" s="7"/>
      <c r="D20" s="7"/>
      <c r="E20" s="7"/>
      <c r="F20" s="7"/>
      <c r="G20" s="7"/>
      <c r="H20" s="7"/>
      <c r="I20" s="7"/>
      <c r="J20" s="7"/>
      <c r="K20" s="7"/>
    </row>
    <row r="21" customFormat="false" ht="79.5" hidden="false" customHeight="true" outlineLevel="0" collapsed="false">
      <c r="A21" s="8" t="n">
        <v>1</v>
      </c>
      <c r="B21" s="9" t="s">
        <v>26</v>
      </c>
      <c r="C21" s="9" t="s">
        <v>27</v>
      </c>
      <c r="D21" s="10" t="s">
        <v>28</v>
      </c>
      <c r="E21" s="11" t="s">
        <v>29</v>
      </c>
      <c r="F21" s="12" t="s">
        <v>30</v>
      </c>
      <c r="G21" s="13" t="n">
        <v>1</v>
      </c>
      <c r="H21" s="14" t="n">
        <v>380000</v>
      </c>
      <c r="I21" s="13" t="n">
        <v>1</v>
      </c>
      <c r="J21" s="15" t="s">
        <v>31</v>
      </c>
      <c r="K21" s="16" t="s">
        <v>32</v>
      </c>
    </row>
    <row r="22" customFormat="false" ht="79.5" hidden="false" customHeight="true" outlineLevel="0" collapsed="false">
      <c r="A22" s="8" t="n">
        <v>2</v>
      </c>
      <c r="B22" s="9" t="s">
        <v>67</v>
      </c>
      <c r="C22" s="9" t="s">
        <v>68</v>
      </c>
      <c r="D22" s="10" t="s">
        <v>69</v>
      </c>
      <c r="E22" s="11" t="s">
        <v>70</v>
      </c>
      <c r="F22" s="17"/>
      <c r="G22" s="13" t="n">
        <v>1</v>
      </c>
      <c r="H22" s="14" t="n">
        <v>432.22</v>
      </c>
      <c r="I22" s="13" t="n">
        <v>10</v>
      </c>
      <c r="J22" s="18" t="s">
        <v>37</v>
      </c>
      <c r="K22" s="19"/>
    </row>
    <row r="23" customFormat="false" ht="79.5" hidden="false" customHeight="true" outlineLevel="0" collapsed="false">
      <c r="A23" s="8" t="n">
        <v>3</v>
      </c>
      <c r="B23" s="9" t="s">
        <v>71</v>
      </c>
      <c r="C23" s="9" t="s">
        <v>72</v>
      </c>
      <c r="D23" s="10" t="s">
        <v>73</v>
      </c>
      <c r="E23" s="11" t="s">
        <v>74</v>
      </c>
      <c r="F23" s="17"/>
      <c r="G23" s="13" t="n">
        <v>1</v>
      </c>
      <c r="H23" s="14" t="n">
        <v>2162.96</v>
      </c>
      <c r="I23" s="13" t="n">
        <v>10</v>
      </c>
      <c r="J23" s="18" t="s">
        <v>37</v>
      </c>
      <c r="K23" s="19" t="s">
        <v>75</v>
      </c>
    </row>
    <row r="24" customFormat="false" ht="79.5" hidden="false" customHeight="true" outlineLevel="0" collapsed="false">
      <c r="A24" s="8" t="n">
        <v>4</v>
      </c>
      <c r="B24" s="9" t="s">
        <v>76</v>
      </c>
      <c r="C24" s="9" t="s">
        <v>77</v>
      </c>
      <c r="D24" s="10" t="s">
        <v>78</v>
      </c>
      <c r="E24" s="11" t="s">
        <v>79</v>
      </c>
      <c r="F24" s="17"/>
      <c r="G24" s="13" t="n">
        <v>1</v>
      </c>
      <c r="H24" s="14" t="n">
        <v>350</v>
      </c>
      <c r="I24" s="13" t="n">
        <v>10</v>
      </c>
      <c r="J24" s="15" t="s">
        <v>31</v>
      </c>
      <c r="K24" s="16" t="s">
        <v>80</v>
      </c>
    </row>
    <row r="25" customFormat="false" ht="79.5" hidden="false" customHeight="true" outlineLevel="0" collapsed="false">
      <c r="A25" s="8" t="n">
        <v>5</v>
      </c>
      <c r="B25" s="9" t="s">
        <v>81</v>
      </c>
      <c r="C25" s="9" t="s">
        <v>82</v>
      </c>
      <c r="D25" s="10" t="s">
        <v>83</v>
      </c>
      <c r="E25" s="11" t="s">
        <v>84</v>
      </c>
      <c r="F25" s="17"/>
      <c r="G25" s="13" t="n">
        <v>1</v>
      </c>
      <c r="H25" s="14" t="n">
        <v>1440</v>
      </c>
      <c r="I25" s="13" t="n">
        <v>10</v>
      </c>
      <c r="J25" s="18" t="s">
        <v>37</v>
      </c>
      <c r="K25" s="19" t="s">
        <v>85</v>
      </c>
    </row>
    <row r="26" customFormat="false" ht="79.5" hidden="false" customHeight="true" outlineLevel="0" collapsed="false">
      <c r="A26" s="8" t="n">
        <v>6</v>
      </c>
      <c r="B26" s="9" t="s">
        <v>86</v>
      </c>
      <c r="C26" s="9" t="s">
        <v>57</v>
      </c>
      <c r="D26" s="10" t="s">
        <v>58</v>
      </c>
      <c r="E26" s="11" t="s">
        <v>59</v>
      </c>
      <c r="F26" s="17"/>
      <c r="G26" s="13" t="n">
        <v>1</v>
      </c>
      <c r="H26" s="14" t="n">
        <v>2473.48</v>
      </c>
      <c r="I26" s="13" t="n">
        <v>10</v>
      </c>
      <c r="J26" s="18" t="s">
        <v>37</v>
      </c>
      <c r="K26" s="19"/>
    </row>
    <row r="27" customFormat="false" ht="79.5" hidden="false" customHeight="true" outlineLevel="0" collapsed="false">
      <c r="A27" s="8" t="n">
        <v>7</v>
      </c>
      <c r="B27" s="9" t="s">
        <v>87</v>
      </c>
      <c r="C27" s="9" t="s">
        <v>88</v>
      </c>
      <c r="D27" s="10" t="s">
        <v>89</v>
      </c>
      <c r="E27" s="11" t="s">
        <v>90</v>
      </c>
      <c r="F27" s="17"/>
      <c r="G27" s="13" t="n">
        <v>1</v>
      </c>
      <c r="H27" s="14" t="n">
        <v>2472.66</v>
      </c>
      <c r="I27" s="13" t="n">
        <v>5</v>
      </c>
      <c r="J27" s="18" t="s">
        <v>37</v>
      </c>
      <c r="K27" s="19"/>
    </row>
    <row r="28" customFormat="false" ht="79.5" hidden="false" customHeight="true" outlineLevel="0" collapsed="false">
      <c r="A28" s="8" t="n">
        <v>8</v>
      </c>
      <c r="B28" s="9" t="s">
        <v>91</v>
      </c>
      <c r="C28" s="9" t="s">
        <v>92</v>
      </c>
      <c r="D28" s="10" t="s">
        <v>93</v>
      </c>
      <c r="E28" s="11" t="s">
        <v>94</v>
      </c>
      <c r="F28" s="17"/>
      <c r="G28" s="13" t="n">
        <v>1</v>
      </c>
      <c r="H28" s="14" t="n">
        <v>1440</v>
      </c>
      <c r="I28" s="13" t="n">
        <v>5</v>
      </c>
      <c r="J28" s="18" t="s">
        <v>37</v>
      </c>
      <c r="K28" s="19" t="s">
        <v>95</v>
      </c>
    </row>
    <row r="29" customFormat="false" ht="18" hidden="false" customHeight="true" outlineLevel="0" collapsed="false">
      <c r="A29" s="20" t="s">
        <v>39</v>
      </c>
      <c r="B29" s="20"/>
      <c r="C29" s="20"/>
      <c r="D29" s="20"/>
      <c r="E29" s="20"/>
      <c r="F29" s="20"/>
      <c r="G29" s="20"/>
      <c r="H29" s="21" t="n">
        <f aca="false">SUM(H21:H28)</f>
        <v>390771.32</v>
      </c>
      <c r="I29" s="22"/>
      <c r="J29" s="22"/>
      <c r="K29" s="22"/>
    </row>
    <row r="30" customFormat="false" ht="19.5" hidden="false" customHeight="true" outlineLevel="0" collapsed="false">
      <c r="A30" s="7" t="s">
        <v>96</v>
      </c>
      <c r="B30" s="7"/>
      <c r="C30" s="7"/>
      <c r="D30" s="7"/>
      <c r="E30" s="7"/>
      <c r="F30" s="7"/>
      <c r="G30" s="7"/>
      <c r="H30" s="7"/>
      <c r="I30" s="7"/>
      <c r="J30" s="7"/>
      <c r="K30" s="7"/>
    </row>
    <row r="31" customFormat="false" ht="79.5" hidden="false" customHeight="true" outlineLevel="0" collapsed="false">
      <c r="A31" s="8" t="n">
        <v>1</v>
      </c>
      <c r="B31" s="9" t="s">
        <v>97</v>
      </c>
      <c r="C31" s="9" t="s">
        <v>98</v>
      </c>
      <c r="D31" s="10" t="s">
        <v>99</v>
      </c>
      <c r="E31" s="11" t="s">
        <v>100</v>
      </c>
      <c r="F31" s="17"/>
      <c r="G31" s="13" t="n">
        <v>1</v>
      </c>
      <c r="H31" s="14" t="n">
        <v>8000</v>
      </c>
      <c r="I31" s="13" t="n">
        <v>3</v>
      </c>
      <c r="J31" s="15" t="s">
        <v>31</v>
      </c>
      <c r="K31" s="16" t="s">
        <v>101</v>
      </c>
    </row>
    <row r="32" customFormat="false" ht="79.5" hidden="false" customHeight="true" outlineLevel="0" collapsed="false">
      <c r="A32" s="8" t="n">
        <v>2</v>
      </c>
      <c r="B32" s="9" t="s">
        <v>33</v>
      </c>
      <c r="C32" s="9" t="s">
        <v>34</v>
      </c>
      <c r="D32" s="10" t="s">
        <v>35</v>
      </c>
      <c r="E32" s="11" t="s">
        <v>36</v>
      </c>
      <c r="F32" s="17"/>
      <c r="G32" s="13" t="n">
        <v>1</v>
      </c>
      <c r="H32" s="14" t="n">
        <v>7600</v>
      </c>
      <c r="I32" s="13" t="n">
        <v>3</v>
      </c>
      <c r="J32" s="18" t="s">
        <v>37</v>
      </c>
      <c r="K32" s="19" t="s">
        <v>102</v>
      </c>
    </row>
    <row r="33" customFormat="false" ht="18" hidden="false" customHeight="true" outlineLevel="0" collapsed="false">
      <c r="A33" s="20" t="s">
        <v>39</v>
      </c>
      <c r="B33" s="20"/>
      <c r="C33" s="20"/>
      <c r="D33" s="20"/>
      <c r="E33" s="20"/>
      <c r="F33" s="20"/>
      <c r="G33" s="20"/>
      <c r="H33" s="21" t="n">
        <f aca="false">SUM(H31:H32)</f>
        <v>15600</v>
      </c>
      <c r="I33" s="22"/>
      <c r="J33" s="22"/>
      <c r="K33" s="22"/>
    </row>
    <row r="34" customFormat="false" ht="21.75" hidden="false" customHeight="true" outlineLevel="0" collapsed="false">
      <c r="A34" s="23" t="s">
        <v>103</v>
      </c>
      <c r="B34" s="23"/>
      <c r="C34" s="23"/>
      <c r="D34" s="23"/>
      <c r="E34" s="23"/>
      <c r="F34" s="23"/>
      <c r="G34" s="23"/>
      <c r="H34" s="24" t="n">
        <f aca="false">SUM(H9:H10)+SUM(H13:H18)+SUM(H21:H28)+SUM(H31:H32)</f>
        <v>1189331.23</v>
      </c>
      <c r="I34" s="25"/>
      <c r="J34" s="25"/>
      <c r="K34" s="25"/>
    </row>
    <row r="35" customFormat="false" ht="30" hidden="false" customHeight="true" outlineLevel="0" collapsed="false">
      <c r="A35" s="26" t="s">
        <v>104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</row>
  </sheetData>
  <mergeCells count="18">
    <mergeCell ref="A1:K1"/>
    <mergeCell ref="A2:K2"/>
    <mergeCell ref="B3:E3"/>
    <mergeCell ref="G3:K3"/>
    <mergeCell ref="B4:E4"/>
    <mergeCell ref="G4:K4"/>
    <mergeCell ref="B5:E5"/>
    <mergeCell ref="G5:K5"/>
    <mergeCell ref="A8:K8"/>
    <mergeCell ref="A11:G11"/>
    <mergeCell ref="A12:K12"/>
    <mergeCell ref="A19:G19"/>
    <mergeCell ref="A20:K20"/>
    <mergeCell ref="A29:G29"/>
    <mergeCell ref="A30:K30"/>
    <mergeCell ref="A33:G33"/>
    <mergeCell ref="A34:G34"/>
    <mergeCell ref="A35:K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2026-07-21T04:45:10Z</dcterms:created>
  <dc:creator>openpyxl</dc:creator>
  <dc:description/>
  <dc:language>en-US</dc:language>
  <cp:lastModifiedBy/>
  <dcterms:modified xsi:type="dcterms:W3CDTF">2026-07-21T04:45:11Z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