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2129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 &quot;#,##0.00"/>
  </numFmts>
  <fonts count="1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FFFFFF"/>
      <sz val="10"/>
    </font>
    <font>
      <name val="Arial"/>
      <b val="1"/>
      <color rgb="FF8A93A6"/>
      <sz val="9"/>
    </font>
    <font>
      <name val="Arial"/>
      <b val="1"/>
      <color rgb="FF0F1522"/>
      <sz val="10"/>
    </font>
    <font>
      <name val="Arial"/>
      <b val="1"/>
      <color rgb="FFFFFFFF"/>
      <sz val="9"/>
    </font>
    <font>
      <name val="Arial"/>
      <b val="1"/>
      <color rgb="FFFFFFFF"/>
      <sz val="11"/>
    </font>
    <font>
      <name val="Arial"/>
      <color rgb="FF0F1522"/>
      <sz val="9.5"/>
    </font>
    <font>
      <name val="Arial"/>
      <b val="1"/>
      <color rgb="FFC8102E"/>
      <sz val="9.5"/>
    </font>
    <font>
      <name val="Arial"/>
      <color rgb="FF0F1522"/>
      <sz val="10"/>
    </font>
    <font>
      <name val="Arial"/>
      <b val="1"/>
      <color rgb="FFC9F2D0"/>
      <sz val="9"/>
    </font>
    <font>
      <name val="Arial"/>
      <color rgb="FF0F1522"/>
      <sz val="8.5"/>
    </font>
    <font>
      <name val="Arial"/>
      <b val="1"/>
      <color rgb="FFC8102E"/>
      <sz val="11"/>
    </font>
    <font>
      <name val="Arial"/>
      <b val="1"/>
      <color rgb="FFFFD5DB"/>
      <sz val="9"/>
    </font>
    <font>
      <name val="Arial"/>
      <color rgb="FF8A93A6"/>
      <sz val="8.5"/>
    </font>
    <font>
      <name val="Arial"/>
      <b val="1"/>
      <color rgb="FFFFE8B0"/>
      <sz val="9"/>
    </font>
  </fonts>
  <fills count="10">
    <fill>
      <patternFill/>
    </fill>
    <fill>
      <patternFill patternType="gray125"/>
    </fill>
    <fill>
      <patternFill patternType="solid">
        <fgColor rgb="FF0B1F3A"/>
      </patternFill>
    </fill>
    <fill>
      <patternFill patternType="solid">
        <fgColor rgb="FFC8102E"/>
      </patternFill>
    </fill>
    <fill>
      <patternFill patternType="solid">
        <fgColor rgb="FF132B4F"/>
      </patternFill>
    </fill>
    <fill>
      <patternFill patternType="solid">
        <fgColor rgb="FFF4F6FA"/>
      </patternFill>
    </fill>
    <fill>
      <patternFill patternType="solid">
        <fgColor rgb="FF1E5631"/>
      </patternFill>
    </fill>
    <fill>
      <patternFill patternType="solid">
        <fgColor rgb="FFE9EDF4"/>
      </patternFill>
    </fill>
    <fill>
      <patternFill patternType="solid">
        <fgColor rgb="FF8C1220"/>
      </patternFill>
    </fill>
    <fill>
      <patternFill patternType="solid">
        <fgColor rgb="FF8A5A00"/>
      </patternFill>
    </fill>
  </fills>
  <borders count="2">
    <border>
      <left/>
      <right/>
      <top/>
      <bottom/>
      <diagonal/>
    </border>
    <border>
      <bottom style="thin">
        <color rgb="FFD3D9E4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2" fillId="4" borderId="0" applyAlignment="1" pivotButton="0" quotePrefix="0" xfId="0">
      <alignment horizontal="right" vertical="center"/>
    </xf>
    <xf numFmtId="164" fontId="2" fillId="4" borderId="0" applyAlignment="1" pivotButton="0" quotePrefix="0" xfId="0">
      <alignment horizontal="right" vertical="center"/>
    </xf>
    <xf numFmtId="0" fontId="15" fillId="9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right" vertical="center"/>
    </xf>
    <xf numFmtId="164" fontId="6" fillId="3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</row>
      <rowOff>0</rowOff>
    </from>
    <ext cx="952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</row>
      <rowOff>0</rowOff>
    </from>
    <ext cx="952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</row>
      <rowOff>0</rowOff>
    </from>
    <ext cx="952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17</row>
      <rowOff>0</rowOff>
    </from>
    <ext cx="9525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18</row>
      <rowOff>0</rowOff>
    </from>
    <ext cx="9525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19</row>
      <rowOff>0</rowOff>
    </from>
    <ext cx="9525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20</row>
      <rowOff>0</rowOff>
    </from>
    <ext cx="9525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21</row>
      <rowOff>0</rowOff>
    </from>
    <ext cx="9525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22</row>
      <rowOff>0</rowOff>
    </from>
    <ext cx="9525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23</row>
      <rowOff>0</rowOff>
    </from>
    <ext cx="9525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24</row>
      <rowOff>0</rowOff>
    </from>
    <ext cx="9525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27</row>
      <rowOff>0</rowOff>
    </from>
    <ext cx="9525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28</row>
      <rowOff>0</rowOff>
    </from>
    <ext cx="9525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29</row>
      <rowOff>0</rowOff>
    </from>
    <ext cx="9525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30</row>
      <rowOff>0</rowOff>
    </from>
    <ext cx="9525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.5" customWidth="1" min="1" max="1"/>
    <col width="30" customWidth="1" min="2" max="2"/>
    <col width="34" customWidth="1" min="3" max="3"/>
    <col width="15" customWidth="1" min="4" max="4"/>
    <col width="18" customWidth="1" min="5" max="5"/>
    <col width="15.51" customWidth="1" min="6" max="6"/>
    <col width="5.51" customWidth="1" min="7" max="7"/>
    <col width="13.5" customWidth="1" min="8" max="8"/>
    <col width="8.5" customWidth="1" min="9" max="9"/>
    <col width="11" customWidth="1" min="10" max="10"/>
    <col width="62" customWidth="1" min="11" max="11"/>
  </cols>
  <sheetData>
    <row r="1" ht="30" customHeight="1">
      <c r="A1" s="1" t="inlineStr">
        <is>
          <t>CTP  //  PARTS IDENTIFICATION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8" customHeight="1">
      <c r="A2" s="3" t="inlineStr">
        <is>
          <t>HERMANS TRUCK ACCIDENT REPAIRS  —  ORDER 21297 / GANTRANS  —  URGENT  —  18 LINES / 2 VEHICLES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4" ht="15" customHeight="1">
      <c r="A4" s="5" t="inlineStr">
        <is>
          <t>CUSTOMER</t>
        </is>
      </c>
      <c r="C4" s="6" t="inlineStr">
        <is>
          <t>Hermans Truck Accident Repairs (Denver)</t>
        </is>
      </c>
      <c r="F4" s="5" t="inlineStr">
        <is>
          <t>ATT / FROM</t>
        </is>
      </c>
      <c r="G4" s="6" t="inlineStr">
        <is>
          <t>Ian / Anton (CTP)</t>
        </is>
      </c>
    </row>
    <row r="5" ht="15" customHeight="1">
      <c r="A5" s="5" t="inlineStr">
        <is>
          <t>ORDER NO</t>
        </is>
      </c>
      <c r="C5" s="6" t="inlineStr">
        <is>
          <t>21297  /  GANTRANS</t>
        </is>
      </c>
      <c r="F5" s="5" t="inlineStr">
        <is>
          <t>DATE</t>
        </is>
      </c>
      <c r="G5" s="6" t="inlineStr">
        <is>
          <t>31/07/2026</t>
        </is>
      </c>
    </row>
    <row r="6" ht="15" customHeight="1">
      <c r="A6" s="5" t="inlineStr">
        <is>
          <t>VEHICLE</t>
        </is>
      </c>
      <c r="C6" s="6" t="inlineStr">
        <is>
          <t>FAW JH6 28-500 FT</t>
        </is>
      </c>
      <c r="F6" s="5" t="inlineStr">
        <is>
          <t>VIN</t>
        </is>
      </c>
      <c r="G6" s="6" t="inlineStr">
        <is>
          <t>AAK2850FTRB11167S  (sheets 1 &amp; 3)   ·   AAK2850FTRB11162S  (sheet 2)</t>
        </is>
      </c>
    </row>
    <row r="8" ht="24" customHeight="1">
      <c r="A8" s="7" t="inlineStr">
        <is>
          <t>#</t>
        </is>
      </c>
      <c r="B8" s="7" t="inlineStr">
        <is>
          <t>WRITTEN ON ORDER</t>
        </is>
      </c>
      <c r="C8" s="7" t="inlineStr">
        <is>
          <t>IDENTIFIED PART</t>
        </is>
      </c>
      <c r="D8" s="7" t="inlineStr">
        <is>
          <t>CTP PART NO.</t>
        </is>
      </c>
      <c r="E8" s="7" t="inlineStr">
        <is>
          <t>OEM-INV PART NO.</t>
        </is>
      </c>
      <c r="F8" s="7" t="inlineStr">
        <is>
          <t>PHOTO</t>
        </is>
      </c>
      <c r="G8" s="7" t="inlineStr">
        <is>
          <t>QTY</t>
        </is>
      </c>
      <c r="H8" s="7" t="inlineStr">
        <is>
          <t>INVOICED R</t>
        </is>
      </c>
      <c r="I8" s="7" t="inlineStr">
        <is>
          <t>IN STOCK</t>
        </is>
      </c>
      <c r="J8" s="7" t="inlineStr">
        <is>
          <t>CONFIDENCE</t>
        </is>
      </c>
      <c r="K8" s="7" t="inlineStr">
        <is>
          <t>NOTES  /  TO CONFIRM</t>
        </is>
      </c>
    </row>
    <row r="9" ht="21.75" customHeight="1">
      <c r="A9" s="8" t="inlineStr">
        <is>
          <t>SHEET 1  —  VIN …FTRB11167S  —  R/H FRONT CORNER, MIRROR &amp; STEPS   (6 LINES)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</row>
    <row r="10" ht="78" customHeight="1">
      <c r="A10" s="10" t="n">
        <v>1</v>
      </c>
      <c r="B10" s="11" t="inlineStr">
        <is>
          <t>R/H Foglight</t>
        </is>
      </c>
      <c r="C10" s="12" t="inlineStr">
        <is>
          <t>Front Fog Lamp R/H Assembly</t>
        </is>
      </c>
      <c r="D10" s="13" t="inlineStr">
        <is>
          <t>CTP-LGT-004-R</t>
        </is>
      </c>
      <c r="E10" s="14" t="inlineStr">
        <is>
          <t>3732020-1063-C00</t>
        </is>
      </c>
      <c r="F10" s="15" t="n"/>
      <c r="G10" s="16" t="n">
        <v>1</v>
      </c>
      <c r="H10" s="17" t="n">
        <v>923</v>
      </c>
      <c r="I10" s="10" t="n">
        <v>5</v>
      </c>
      <c r="J10" s="18" t="inlineStr">
        <is>
          <t>HIGH</t>
        </is>
      </c>
      <c r="K10" s="19" t="inlineStr">
        <is>
          <t>Landed R363.80 -&gt; 2.5x, the thinnest lamp markup on the order. L/H twin is 3732015-1063-C00 if both corners are hit.</t>
        </is>
      </c>
    </row>
    <row r="11" ht="78" customHeight="1">
      <c r="A11" s="20" t="n">
        <v>2</v>
      </c>
      <c r="B11" s="21" t="inlineStr">
        <is>
          <t>R/H Bumper End Trim</t>
        </is>
      </c>
      <c r="C11" s="22" t="inlineStr">
        <is>
          <t>Front Bumper R/H Decorative Panel</t>
        </is>
      </c>
      <c r="D11" s="23" t="inlineStr">
        <is>
          <t>CTP-BMP-006-R</t>
        </is>
      </c>
      <c r="E11" s="24" t="inlineStr">
        <is>
          <t>2803032B1063-G</t>
        </is>
      </c>
      <c r="F11" s="25" t="n"/>
      <c r="G11" s="26" t="n">
        <v>1</v>
      </c>
      <c r="H11" s="27" t="n">
        <v>302.91</v>
      </c>
      <c r="I11" s="20" t="n">
        <v>5</v>
      </c>
      <c r="J11" s="18" t="inlineStr">
        <is>
          <t>HIGH</t>
        </is>
      </c>
      <c r="K11" s="28" t="inlineStr">
        <is>
          <t>Same wording as 21261 L/H (invoiced R350.00). Landed R52.87 -&gt; 5.7x. Alt if it is the centre piece: CTP-BMP-021-R.</t>
        </is>
      </c>
    </row>
    <row r="12" ht="78" customHeight="1">
      <c r="A12" s="10" t="n">
        <v>3</v>
      </c>
      <c r="B12" s="11" t="inlineStr">
        <is>
          <t>R/H Mirror Arm Lower Cover</t>
        </is>
      </c>
      <c r="C12" s="12" t="inlineStr">
        <is>
          <t>Outer Rearview Mirror R/H Lower Fixed Base Cover</t>
        </is>
      </c>
      <c r="D12" s="13" t="inlineStr">
        <is>
          <t>CTP-MRR-004-R</t>
        </is>
      </c>
      <c r="E12" s="14" t="inlineStr">
        <is>
          <t>8202062-B45-C00-G</t>
        </is>
      </c>
      <c r="F12" s="15" t="n"/>
      <c r="G12" s="16" t="n">
        <v>1</v>
      </c>
      <c r="H12" s="17" t="n">
        <v>204.96</v>
      </c>
      <c r="I12" s="29" t="n">
        <v>3</v>
      </c>
      <c r="J12" s="18" t="inlineStr">
        <is>
          <t>HIGH</t>
        </is>
      </c>
      <c r="K12" s="19" t="inlineStr">
        <is>
          <t>Plastic cover over the mirror arm base. Landed R20.40 -&gt; 10x. Only 3 received in Shipment-01.</t>
        </is>
      </c>
    </row>
    <row r="13" ht="78" customHeight="1">
      <c r="A13" s="20" t="n">
        <v>4</v>
      </c>
      <c r="B13" s="21" t="inlineStr">
        <is>
          <t>R/H Upper Stepbox</t>
        </is>
      </c>
      <c r="C13" s="22" t="inlineStr">
        <is>
          <t>Front Fender R/H  (wheel-arch panel enclosing the upper steps)</t>
        </is>
      </c>
      <c r="D13" s="23" t="inlineStr">
        <is>
          <t>CTP-FND-002-R</t>
        </is>
      </c>
      <c r="E13" s="24" t="inlineStr">
        <is>
          <t>5103122-B45-G</t>
        </is>
      </c>
      <c r="F13" s="25" t="n"/>
      <c r="G13" s="26" t="n">
        <v>1</v>
      </c>
      <c r="H13" s="27" t="n">
        <v>2669.22</v>
      </c>
      <c r="I13" s="20" t="n">
        <v>5</v>
      </c>
      <c r="J13" s="18" t="inlineStr">
        <is>
          <t>HIGH</t>
        </is>
      </c>
      <c r="K13" s="28" t="inlineStr">
        <is>
          <t>Second order with this exact wording (21287 @ R2,292.26) and the cutout is the box-shaped upper step enclosure — upgraded from CONFIRM to HIGH.</t>
        </is>
      </c>
    </row>
    <row r="14" ht="78" customHeight="1">
      <c r="A14" s="10" t="n">
        <v>5</v>
      </c>
      <c r="B14" s="11" t="inlineStr">
        <is>
          <t>R/H Lower Stepbox</t>
        </is>
      </c>
      <c r="C14" s="12" t="inlineStr">
        <is>
          <t>Step Decorative Cover R/H</t>
        </is>
      </c>
      <c r="D14" s="13" t="inlineStr">
        <is>
          <t>CTP-STP-004-R</t>
        </is>
      </c>
      <c r="E14" s="14" t="inlineStr">
        <is>
          <t>5103022-1544-G</t>
        </is>
      </c>
      <c r="F14" s="15" t="n"/>
      <c r="G14" s="16" t="n">
        <v>1</v>
      </c>
      <c r="H14" s="17" t="n">
        <v>973.4400000000001</v>
      </c>
      <c r="I14" s="10" t="n">
        <v>5</v>
      </c>
      <c r="J14" s="18" t="inlineStr">
        <is>
          <t>HIGH</t>
        </is>
      </c>
      <c r="K14" s="19" t="inlineStr">
        <is>
          <t>L/H equivalent invoiced R811.24 on 21232. Landed R247.52 -&gt; 3.9x. Inspection flap (CTP-STP-007-C) is a separate line if also damaged.</t>
        </is>
      </c>
    </row>
    <row r="15" ht="78" customHeight="1">
      <c r="A15" s="20" t="n">
        <v>6</v>
      </c>
      <c r="B15" s="21" t="inlineStr">
        <is>
          <t>R/S Fender Indicator</t>
        </is>
      </c>
      <c r="C15" s="22" t="inlineStr">
        <is>
          <t>NO MATCH IN STOCK — side repeater / fender indicator lamp</t>
        </is>
      </c>
      <c r="D15" s="23" t="inlineStr">
        <is>
          <t>—</t>
        </is>
      </c>
      <c r="E15" s="24" t="inlineStr">
        <is>
          <t>not in Shipment-01</t>
        </is>
      </c>
      <c r="F15" s="30" t="inlineStr">
        <is>
          <t>no cutout
(not stocked)</t>
        </is>
      </c>
      <c r="G15" s="26" t="n">
        <v>1</v>
      </c>
      <c r="H15" s="27" t="n">
        <v>169</v>
      </c>
      <c r="I15" s="31" t="inlineStr">
        <is>
          <t>0</t>
        </is>
      </c>
      <c r="J15" s="32" t="inlineStr">
        <is>
          <t>SOURCE</t>
        </is>
      </c>
      <c r="K15" s="28" t="inlineStr">
        <is>
          <t>Shipment-01 lighting is front combination lamps + fog lamps only; there is no side repeater in the 161-line stock. Needs sourcing before this order can ship complete.</t>
        </is>
      </c>
    </row>
    <row r="16" ht="19.5" customHeight="1">
      <c r="A16" s="33" t="inlineStr">
        <is>
          <t>SHEET 1 TOTAL</t>
        </is>
      </c>
      <c r="B16" s="9" t="n"/>
      <c r="C16" s="9" t="n"/>
      <c r="D16" s="9" t="n"/>
      <c r="E16" s="9" t="n"/>
      <c r="F16" s="9" t="n"/>
      <c r="G16" s="9" t="n"/>
      <c r="H16" s="34">
        <f>SUM(H10:H15)</f>
        <v/>
      </c>
      <c r="I16" s="9" t="n"/>
      <c r="J16" s="9" t="n"/>
      <c r="K16" s="9" t="n"/>
    </row>
    <row r="17" ht="21.75" customHeight="1">
      <c r="A17" s="8" t="inlineStr">
        <is>
          <t>SHEET 2  —  VIN …FTRB11162S  —  R/H FRONT END: GRILLE, BUMPER, LAMP, MIRROR   (8 LINES)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</row>
    <row r="18" ht="78" customHeight="1">
      <c r="A18" s="10" t="n">
        <v>1</v>
      </c>
      <c r="B18" s="11" t="inlineStr">
        <is>
          <t>Lower Grille</t>
        </is>
      </c>
      <c r="C18" s="12" t="inlineStr">
        <is>
          <t>Front Bumper Intake Grille Assembly  (lower grille in the bumper face)</t>
        </is>
      </c>
      <c r="D18" s="13" t="inlineStr">
        <is>
          <t>CTP-BMP-017-C</t>
        </is>
      </c>
      <c r="E18" s="14" t="inlineStr">
        <is>
          <t>2803015B1063-G</t>
        </is>
      </c>
      <c r="F18" s="15" t="n"/>
      <c r="G18" s="16" t="n">
        <v>1</v>
      </c>
      <c r="H18" s="17" t="n">
        <v>4647.04</v>
      </c>
      <c r="I18" s="10" t="n">
        <v>10</v>
      </c>
      <c r="J18" s="35" t="inlineStr">
        <is>
          <t>CONFIRM</t>
        </is>
      </c>
      <c r="K18" s="19" t="inlineStr">
        <is>
          <t>PRICE CHECK: landed R188.36 -&gt; 24.7x, far outside the 3.5-10x band this customer normally runs at. R4,647.04 also equals the R/H bumper-bracket list price (R4,647.05) to the cent — verify the line was not priced off the wrong row. Alt part: Radiator Grille CTP-FWL-013-C / 5302071-B45-G (upper 3-bar grille).</t>
        </is>
      </c>
    </row>
    <row r="19" ht="78" customHeight="1">
      <c r="A19" s="20" t="n">
        <v>2</v>
      </c>
      <c r="B19" s="21" t="inlineStr">
        <is>
          <t>Centre Bumper</t>
        </is>
      </c>
      <c r="C19" s="22" t="inlineStr">
        <is>
          <t>Front Bumper Centre Assembly</t>
        </is>
      </c>
      <c r="D19" s="23" t="inlineStr">
        <is>
          <t>CTP-BMP-009-C</t>
        </is>
      </c>
      <c r="E19" s="24" t="inlineStr">
        <is>
          <t>2803010B1063-DQ</t>
        </is>
      </c>
      <c r="F19" s="25" t="n"/>
      <c r="G19" s="26" t="n">
        <v>1</v>
      </c>
      <c r="H19" s="27" t="n">
        <v>4642.52</v>
      </c>
      <c r="I19" s="20" t="n">
        <v>10</v>
      </c>
      <c r="J19" s="18" t="inlineStr">
        <is>
          <t>HIGH</t>
        </is>
      </c>
      <c r="K19" s="28" t="inlineStr">
        <is>
          <t>Part match is solid; landed R1,264.29 -&gt; 3.7x, right in the big-panel band. NB the price equals the L/H bumper-bracket list price to the cent — see line 1.</t>
        </is>
      </c>
    </row>
    <row r="20" ht="78" customHeight="1">
      <c r="A20" s="10" t="n">
        <v>3</v>
      </c>
      <c r="B20" s="11" t="inlineStr">
        <is>
          <t>R/H H/Lamp</t>
        </is>
      </c>
      <c r="C20" s="12" t="inlineStr">
        <is>
          <t>Front Combination Lamp R/H Assembly</t>
        </is>
      </c>
      <c r="D20" s="13" t="inlineStr">
        <is>
          <t>CTP-LGT-002-R</t>
        </is>
      </c>
      <c r="E20" s="14" t="inlineStr">
        <is>
          <t>3711020-1544</t>
        </is>
      </c>
      <c r="F20" s="15" t="n"/>
      <c r="G20" s="16" t="n">
        <v>1</v>
      </c>
      <c r="H20" s="17" t="n">
        <v>4140.83</v>
      </c>
      <c r="I20" s="10" t="n">
        <v>5</v>
      </c>
      <c r="J20" s="18" t="inlineStr">
        <is>
          <t>HIGH</t>
        </is>
      </c>
      <c r="K20" s="19" t="inlineStr">
        <is>
          <t>Headlight + indicator combination unit. Invoiced R2,472.66 on 21261 — this is 67% higher; confirm the current list price before invoicing.</t>
        </is>
      </c>
    </row>
    <row r="21" ht="78" customHeight="1">
      <c r="A21" s="20" t="n">
        <v>4</v>
      </c>
      <c r="B21" s="21" t="inlineStr">
        <is>
          <t>R/H Door Hinge Cover Panel</t>
        </is>
      </c>
      <c r="C21" s="22" t="inlineStr">
        <is>
          <t>Right A-pillar lower decorative plate  (catalogued as 'Front Pillar R/H Lower Hinge Guard')</t>
        </is>
      </c>
      <c r="D21" s="23" t="inlineStr">
        <is>
          <t>CTP-INT-004-R</t>
        </is>
      </c>
      <c r="E21" s="24" t="inlineStr">
        <is>
          <t>5302842-B45-G</t>
        </is>
      </c>
      <c r="F21" s="25" t="n"/>
      <c r="G21" s="26" t="n">
        <v>1</v>
      </c>
      <c r="H21" s="27" t="n">
        <v>746.48</v>
      </c>
      <c r="I21" s="20" t="n">
        <v>5</v>
      </c>
      <c r="J21" s="18" t="inlineStr">
        <is>
          <t>HIGH</t>
        </is>
      </c>
      <c r="K21" s="28" t="inlineStr">
        <is>
          <t>The image catalogue literally names this part a hinge guard — wording matches exactly. Landed R110.50 -&gt; 6.8x. Alt if the damage is higher up the pillar: CTP-INT-002-R / 5302720-H02.</t>
        </is>
      </c>
    </row>
    <row r="22" ht="78" customHeight="1">
      <c r="A22" s="10" t="n">
        <v>5</v>
      </c>
      <c r="B22" s="11" t="inlineStr">
        <is>
          <t>R/H Bumper Bracket / Frame</t>
        </is>
      </c>
      <c r="C22" s="12" t="inlineStr">
        <is>
          <t>Front Bumper R/H Bracket Assembly</t>
        </is>
      </c>
      <c r="D22" s="13" t="inlineStr">
        <is>
          <t>CTP-BMP-004-R</t>
        </is>
      </c>
      <c r="E22" s="14" t="inlineStr">
        <is>
          <t>2803650B1063</t>
        </is>
      </c>
      <c r="F22" s="15" t="n"/>
      <c r="G22" s="16" t="n">
        <v>1</v>
      </c>
      <c r="H22" s="17" t="n">
        <v>2285.12</v>
      </c>
      <c r="I22" s="10" t="n">
        <v>5</v>
      </c>
      <c r="J22" s="18" t="inlineStr">
        <is>
          <t>HIGH</t>
        </is>
      </c>
      <c r="K22" s="19" t="inlineStr">
        <is>
          <t>'Bumper frame' = the mounting bracket assembly (21261 precedent, R1,440.00 then). Landed R869.72 -&gt; 2.6x.</t>
        </is>
      </c>
    </row>
    <row r="23" ht="78" customHeight="1">
      <c r="A23" s="20" t="n">
        <v>6</v>
      </c>
      <c r="B23" s="21" t="inlineStr">
        <is>
          <t>R/H Mirror Assy</t>
        </is>
      </c>
      <c r="C23" s="22" t="inlineStr">
        <is>
          <t>Outer Rearview Mirror Assembly R/H — Electric</t>
        </is>
      </c>
      <c r="D23" s="23" t="inlineStr">
        <is>
          <t>CTP-MRR-002-R</t>
        </is>
      </c>
      <c r="E23" s="24" t="inlineStr">
        <is>
          <t>8202020-H02-C00</t>
        </is>
      </c>
      <c r="F23" s="25" t="n"/>
      <c r="G23" s="26" t="n">
        <v>1</v>
      </c>
      <c r="H23" s="27" t="n">
        <v>2983.39</v>
      </c>
      <c r="I23" s="20" t="n">
        <v>5</v>
      </c>
      <c r="J23" s="18" t="inlineStr">
        <is>
          <t>HIGH</t>
        </is>
      </c>
      <c r="K23" s="28" t="inlineStr">
        <is>
          <t>R2,983.39 is exactly the mirror list price held in master_parts — clean corroboration. Landed R967.64 -&gt; 3.1x.</t>
        </is>
      </c>
    </row>
    <row r="24" ht="78" customHeight="1">
      <c r="A24" s="10" t="n">
        <v>7</v>
      </c>
      <c r="B24" s="11" t="inlineStr">
        <is>
          <t>R/H Fender Extension</t>
        </is>
      </c>
      <c r="C24" s="12" t="inlineStr">
        <is>
          <t>Rear Fender R/H  (extension panel behind the front fender)</t>
        </is>
      </c>
      <c r="D24" s="13" t="inlineStr">
        <is>
          <t>CTP-FND-007-R</t>
        </is>
      </c>
      <c r="E24" s="14" t="inlineStr">
        <is>
          <t>5103132-B45-G</t>
        </is>
      </c>
      <c r="F24" s="15" t="n"/>
      <c r="G24" s="16" t="n">
        <v>1</v>
      </c>
      <c r="H24" s="17" t="n">
        <v>1170.04</v>
      </c>
      <c r="I24" s="10" t="n">
        <v>5</v>
      </c>
      <c r="J24" s="18" t="inlineStr">
        <is>
          <t>HIGH</t>
        </is>
      </c>
      <c r="K24" s="19" t="inlineStr">
        <is>
          <t>Established Hermans wording (21287 @ R936.04). Catalogue base PN is 5103130-B45 — check the markings on the shelf part.</t>
        </is>
      </c>
    </row>
    <row r="25" ht="78" customHeight="1">
      <c r="A25" s="20" t="n">
        <v>8</v>
      </c>
      <c r="B25" s="21" t="inlineStr">
        <is>
          <t>Centre Bumper R/H Ext Trim Centre</t>
        </is>
      </c>
      <c r="C25" s="22" t="inlineStr">
        <is>
          <t>Front Bumper Centre Lower R/H Decorative Panel</t>
        </is>
      </c>
      <c r="D25" s="23" t="inlineStr">
        <is>
          <t>CTP-BMP-021-R</t>
        </is>
      </c>
      <c r="E25" s="24" t="inlineStr">
        <is>
          <t>2803382B1063</t>
        </is>
      </c>
      <c r="F25" s="25" t="n"/>
      <c r="G25" s="26" t="n">
        <v>1</v>
      </c>
      <c r="H25" s="27" t="n">
        <v>85</v>
      </c>
      <c r="I25" s="20" t="n">
        <v>10</v>
      </c>
      <c r="J25" s="35" t="inlineStr">
        <is>
          <t>CONFIRM</t>
        </is>
      </c>
      <c r="K25" s="28" t="inlineStr">
        <is>
          <t>Smallest line on the order; landed R7.14 -&gt; 11.9x. Alt: Lower Tow Hook Cover CTP-BMP-013-C if the piece is the centre blanking panel.</t>
        </is>
      </c>
    </row>
    <row r="26" ht="19.5" customHeight="1">
      <c r="A26" s="33" t="inlineStr">
        <is>
          <t>SHEET 2 TOTAL</t>
        </is>
      </c>
      <c r="B26" s="9" t="n"/>
      <c r="C26" s="9" t="n"/>
      <c r="D26" s="9" t="n"/>
      <c r="E26" s="9" t="n"/>
      <c r="F26" s="9" t="n"/>
      <c r="G26" s="9" t="n"/>
      <c r="H26" s="34">
        <f>SUM(H18:H25)</f>
        <v/>
      </c>
      <c r="I26" s="9" t="n"/>
      <c r="J26" s="9" t="n"/>
      <c r="K26" s="9" t="n"/>
    </row>
    <row r="27" ht="21.75" customHeight="1">
      <c r="A27" s="8" t="inlineStr">
        <is>
          <t>SHEET 3  —  VIN …FTRB11167S  —  R/H DEFLECTOR, BUMPER &amp; DOOR   (4 LINES)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</row>
    <row r="28" ht="78" customHeight="1">
      <c r="A28" s="10" t="n">
        <v>1</v>
      </c>
      <c r="B28" s="11" t="inlineStr">
        <is>
          <t>R/H Bonnet Deflector</t>
        </is>
      </c>
      <c r="C28" s="12" t="inlineStr">
        <is>
          <t>R/H Deflector  (front-wall side air vane)</t>
        </is>
      </c>
      <c r="D28" s="13" t="inlineStr">
        <is>
          <t>CTP-FWL-019-R</t>
        </is>
      </c>
      <c r="E28" s="14" t="inlineStr">
        <is>
          <t>5302622-B45-G</t>
        </is>
      </c>
      <c r="F28" s="15" t="n"/>
      <c r="G28" s="16" t="n">
        <v>1</v>
      </c>
      <c r="H28" s="17" t="n">
        <v>790</v>
      </c>
      <c r="I28" s="29" t="n">
        <v>3</v>
      </c>
      <c r="J28" s="35" t="inlineStr">
        <is>
          <t>CONFIRM</t>
        </is>
      </c>
      <c r="K28" s="19" t="inlineStr">
        <is>
          <t>JH6 is a cab-over, so 'bonnet deflector' is read as the front-wall R/H vane. Landed R119.00 -&gt; 6.6x. Alt: Front Bumper Bug Shield CTP-BMP-018-C (but that part is centre, not side-specific). Only 3 in stock.</t>
        </is>
      </c>
    </row>
    <row r="29" ht="78" customHeight="1">
      <c r="A29" s="20" t="n">
        <v>2</v>
      </c>
      <c r="B29" s="21" t="inlineStr">
        <is>
          <t>R/H Bumper</t>
        </is>
      </c>
      <c r="C29" s="22" t="inlineStr">
        <is>
          <t>Front Bumper R/H Assembly</t>
        </is>
      </c>
      <c r="D29" s="23" t="inlineStr">
        <is>
          <t>CTP-BMP-002-R</t>
        </is>
      </c>
      <c r="E29" s="24" t="inlineStr">
        <is>
          <t>2803040B1063-DQ</t>
        </is>
      </c>
      <c r="F29" s="25" t="n"/>
      <c r="G29" s="26" t="n">
        <v>1</v>
      </c>
      <c r="H29" s="27" t="n">
        <v>3600</v>
      </c>
      <c r="I29" s="20" t="n">
        <v>5</v>
      </c>
      <c r="J29" s="18" t="inlineStr">
        <is>
          <t>HIGH</t>
        </is>
      </c>
      <c r="K29" s="28" t="inlineStr">
        <is>
          <t>-DQ variant as received in Shipment-01. Landed R1,015.24 -&gt; 3.5x; L/H invoiced R2,162.96 on 21261.</t>
        </is>
      </c>
    </row>
    <row r="30" ht="78" customHeight="1">
      <c r="A30" s="10" t="n">
        <v>3</v>
      </c>
      <c r="B30" s="11" t="inlineStr">
        <is>
          <t>R/H Door</t>
        </is>
      </c>
      <c r="C30" s="12" t="inlineStr">
        <is>
          <t>Front Door Assembly R/H</t>
        </is>
      </c>
      <c r="D30" s="13" t="inlineStr">
        <is>
          <t>CTP-DOR-002-R</t>
        </is>
      </c>
      <c r="E30" s="14" t="inlineStr">
        <is>
          <t>6100010-H02</t>
        </is>
      </c>
      <c r="F30" s="15" t="n"/>
      <c r="G30" s="16" t="n">
        <v>1</v>
      </c>
      <c r="H30" s="17" t="n">
        <v>14350</v>
      </c>
      <c r="I30" s="10" t="n">
        <v>5</v>
      </c>
      <c r="J30" s="18" t="inlineStr">
        <is>
          <t>HIGH</t>
        </is>
      </c>
      <c r="K30" s="19" t="inlineStr">
        <is>
          <t>MARGIN CHECK: landed R9,397.60 -&gt; 1.53x. This is by far the thinnest markup on the order (everything else runs 2.5-12x) and it is the single biggest line — worth re-checking before it is invoiced.</t>
        </is>
      </c>
    </row>
    <row r="31" ht="78" customHeight="1">
      <c r="A31" s="20" t="n">
        <v>4</v>
      </c>
      <c r="B31" s="21" t="inlineStr">
        <is>
          <t>R/H Door Extension</t>
        </is>
      </c>
      <c r="C31" s="22" t="inlineStr">
        <is>
          <t>Lower Deflector R/H  (cab side extender, lower upright)</t>
        </is>
      </c>
      <c r="D31" s="23" t="inlineStr">
        <is>
          <t>CTP-DEF-017-R</t>
        </is>
      </c>
      <c r="E31" s="24" t="inlineStr">
        <is>
          <t>5704222CB45-G</t>
        </is>
      </c>
      <c r="F31" s="25" t="n"/>
      <c r="G31" s="26" t="n">
        <v>1</v>
      </c>
      <c r="H31" s="27" t="n">
        <v>1840</v>
      </c>
      <c r="I31" s="31" t="n">
        <v>3</v>
      </c>
      <c r="J31" s="35" t="inlineStr">
        <is>
          <t>CONFIRM</t>
        </is>
      </c>
      <c r="K31" s="28" t="inlineStr">
        <is>
          <t>Follows the 21287 read of the same wording (invoiced R3,614.82 there — half that here). Strong alternative: Front Door Lower Trim Panel R/H, CTP-DOR-006-R / 6101590-B83 (landed R423.30 -&gt; 4.3x), which fits a door-focused list better. Worth one call to Anton.</t>
        </is>
      </c>
    </row>
    <row r="32" ht="19.5" customHeight="1">
      <c r="A32" s="33" t="inlineStr">
        <is>
          <t>SHEET 3 TOTAL</t>
        </is>
      </c>
      <c r="B32" s="9" t="n"/>
      <c r="C32" s="9" t="n"/>
      <c r="D32" s="9" t="n"/>
      <c r="E32" s="9" t="n"/>
      <c r="F32" s="9" t="n"/>
      <c r="G32" s="9" t="n"/>
      <c r="H32" s="34">
        <f>SUM(H28:H31)</f>
        <v/>
      </c>
      <c r="I32" s="9" t="n"/>
      <c r="J32" s="9" t="n"/>
      <c r="K32" s="9" t="n"/>
    </row>
    <row r="33" ht="21.75" customHeight="1">
      <c r="A33" s="36" t="inlineStr">
        <is>
          <t>GRAND TOTAL — ORDER 21297  (18 lines, 2 vehicles)</t>
        </is>
      </c>
      <c r="B33" s="4" t="n"/>
      <c r="C33" s="4" t="n"/>
      <c r="D33" s="4" t="n"/>
      <c r="E33" s="4" t="n"/>
      <c r="F33" s="4" t="n"/>
      <c r="G33" s="4" t="n"/>
      <c r="H33" s="37">
        <f>H16+H26+H32</f>
        <v/>
      </c>
      <c r="I33" s="4" t="n"/>
      <c r="J33" s="4" t="n"/>
      <c r="K33" s="4" t="n"/>
    </row>
    <row r="35" ht="21.75" customHeight="1">
      <c r="A35" s="38" t="inlineStr">
        <is>
          <t>CONFIDENCE:   HIGH = established match (prior-order precedent or unambiguous cutout).   CONFIRM = best candidate, verify against the vehicle before invoicing.   SOURCE = no stock match, needs procurement.</t>
        </is>
      </c>
    </row>
    <row r="36" ht="21.75" customHeight="1">
      <c r="A36" s="38" t="inlineStr">
        <is>
          <t>OPEN ITEMS FOR ANTON:  (1) R/S Fender Indicator — not in Shipment-01, no side repeater lamp in stock.  (2) 'Lower Grille' at R4,647.04 is 24.7x landed and matches a bumper-bracket list price to the cent — confirm part and price.  (3) 'R/H Door Extension' — deflector vs door lower trim panel.</t>
        </is>
      </c>
    </row>
    <row r="37" ht="21.75" customHeight="1">
      <c r="A37" s="38" t="inlineStr">
        <is>
          <t>MARGIN FLAGS:  R/H Door R14,350.00 on landed R9,397.60 = 1.53x, well below the 3.5-4x band this order otherwise runs at.  R/H H/Lamp is 67% above the 21261 price for the same part.</t>
        </is>
      </c>
    </row>
    <row r="38" ht="21.75" customHeight="1">
      <c r="A38" s="38" t="inlineStr">
        <is>
          <t>IN STOCK = JH6 Shipment-01 receipt quantity, BEFORE prior sales. Orders 21232 / 21261 / 21287 have already drawn on Front Fender R/H, Rear Fender R/H and Lower Deflector R/H — check live on-hand before promising.</t>
        </is>
      </c>
    </row>
    <row r="39" ht="21.75" customHeight="1">
      <c r="A39" s="38" t="inlineStr">
        <is>
          <t>Photos are CTP catalogue cutouts, for identification only. Prices as written on the Hermans order forms of 31/07/2026 (assumed excl. VAT).</t>
        </is>
      </c>
    </row>
  </sheetData>
  <mergeCells count="23">
    <mergeCell ref="A32:G32"/>
    <mergeCell ref="A39:K39"/>
    <mergeCell ref="A36:K36"/>
    <mergeCell ref="A1:K1"/>
    <mergeCell ref="A6:B6"/>
    <mergeCell ref="G6:K6"/>
    <mergeCell ref="A37:K37"/>
    <mergeCell ref="A27:K27"/>
    <mergeCell ref="A5:B5"/>
    <mergeCell ref="A2:K2"/>
    <mergeCell ref="A16:G16"/>
    <mergeCell ref="G5:K5"/>
    <mergeCell ref="A17:K17"/>
    <mergeCell ref="C6:E6"/>
    <mergeCell ref="G4:K4"/>
    <mergeCell ref="A4:B4"/>
    <mergeCell ref="A35:K35"/>
    <mergeCell ref="C5:E5"/>
    <mergeCell ref="A38:K38"/>
    <mergeCell ref="C4:E4"/>
    <mergeCell ref="A26:G26"/>
    <mergeCell ref="A33:G33"/>
    <mergeCell ref="A9:K9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2026-08-03T05:55:54Z</dcterms:created>
  <dcterms:modified xmlns:dcterms="http://purl.org/dc/terms/" xmlns:xsi="http://www.w3.org/2001/XMLSchema-instance" xsi:type="dcterms:W3CDTF">2026-08-03T05:55:54Z</dcterms:modified>
</cp:coreProperties>
</file>