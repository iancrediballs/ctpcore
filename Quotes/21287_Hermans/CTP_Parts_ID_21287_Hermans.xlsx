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2128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<sst xmlns="http://schemas.openxmlformats.org/spreadsheetml/2006/main" count="61" uniqueCount="58">
  <si>
    <t xml:space="preserve">CTP  //  PARTS IDENTIFICATION</t>
  </si>
  <si>
    <t xml:space="preserve">HERMANS TRUCK ACCIDENT REPAIRS  —  ORDER 21287  —  URGENT</t>
  </si>
  <si>
    <t xml:space="preserve">CUSTOMER</t>
  </si>
  <si>
    <t xml:space="preserve">Hermans Truck Accident Repairs (Denver)</t>
  </si>
  <si>
    <t xml:space="preserve">ATT / FROM</t>
  </si>
  <si>
    <t xml:space="preserve">Anton (CTP)</t>
  </si>
  <si>
    <t xml:space="preserve">ORDER NO</t>
  </si>
  <si>
    <t xml:space="preserve">21287  /  MOTJILELA</t>
  </si>
  <si>
    <t xml:space="preserve">DATE</t>
  </si>
  <si>
    <t xml:space="preserve">27/07/2026</t>
  </si>
  <si>
    <t xml:space="preserve">VEHICLE</t>
  </si>
  <si>
    <t xml:space="preserve">FAW JH28-500</t>
  </si>
  <si>
    <t xml:space="preserve">VIN</t>
  </si>
  <si>
    <t xml:space="preserve">AAK2850FTTB031864</t>
  </si>
  <si>
    <t xml:space="preserve">ORDER 21287  —  FAW JH28-500  —  R/H CAB PANELS  (5 LINES)</t>
  </si>
  <si>
    <t xml:space="preserve">#</t>
  </si>
  <si>
    <t xml:space="preserve">WRITTEN IN ORDER BOOK</t>
  </si>
  <si>
    <t xml:space="preserve">IDENTIFIED PART</t>
  </si>
  <si>
    <t xml:space="preserve">CTP PART NO.</t>
  </si>
  <si>
    <t xml:space="preserve">OEM-INV PART NO.</t>
  </si>
  <si>
    <t xml:space="preserve">PHOTO</t>
  </si>
  <si>
    <t xml:space="preserve">QTY</t>
  </si>
  <si>
    <t xml:space="preserve">INVOICED R</t>
  </si>
  <si>
    <t xml:space="preserve">IN STOCK</t>
  </si>
  <si>
    <t xml:space="preserve">CONFIDENCE</t>
  </si>
  <si>
    <t xml:space="preserve">NOTES</t>
  </si>
  <si>
    <t xml:space="preserve">R/H Door Extension Panel</t>
  </si>
  <si>
    <t xml:space="preserve">Lower Deflector R/H (cab side extender, lower upright — mounts directly behind door)</t>
  </si>
  <si>
    <t xml:space="preserve">CTP-DEF-017-R</t>
  </si>
  <si>
    <t xml:space="preserve">5704222CB45-G</t>
  </si>
  <si>
    <t xml:space="preserve">CONFIRM</t>
  </si>
  <si>
    <t xml:space="preserve">Body-shop wording. Best fit: lower half of R/H cab side extender (aft of door). Markup 9.2x landed matches item 5's 8.5x. Alt: R/H front-wall Deflector 5302622-B45-G (CTP-FWL-019-R).</t>
  </si>
  <si>
    <t xml:space="preserve">R/H Cab Side Panel Outer Skin</t>
  </si>
  <si>
    <t xml:space="preserve">R/H Side Outer Panel Assembly</t>
  </si>
  <si>
    <t xml:space="preserve">CTP-CBY-008-R</t>
  </si>
  <si>
    <t xml:space="preserve">5400020-H02</t>
  </si>
  <si>
    <t xml:space="preserve">HIGH</t>
  </si>
  <si>
    <t xml:space="preserve">Same part as 'Side Panel Skin' on order 21232 — established Hermans wording. Only 3 in stock (D1-FL).</t>
  </si>
  <si>
    <t xml:space="preserve">R/H Cab Fender Extension</t>
  </si>
  <si>
    <t xml:space="preserve">Rear Fender R/H (extension panel behind front fender)</t>
  </si>
  <si>
    <t xml:space="preserve">CTP-FND-007-R</t>
  </si>
  <si>
    <t xml:space="preserve">5103132-B45-G</t>
  </si>
  <si>
    <t xml:space="preserve">Cutout is literally the fender extension piece; list price R975.43 ~ invoiced R936.04. Catalogue base PN 5103130-B45 — verify markings.</t>
  </si>
  <si>
    <t xml:space="preserve">R/H Upper Stepbox</t>
  </si>
  <si>
    <t xml:space="preserve">Front Fender R/H (wheel-arch panel enclosing upper steps)</t>
  </si>
  <si>
    <t xml:space="preserve">CTP-FND-002-R</t>
  </si>
  <si>
    <t xml:space="preserve">5103122-B45-G</t>
  </si>
  <si>
    <t xml:space="preserve">Hermans' 'Lower Step Box' = Step Decorative Cover (21232 precedent), so upper box = fender/step surround. Cutout shows the box-shaped upper step enclosure.</t>
  </si>
  <si>
    <t xml:space="preserve">R/H Cab Aerokit Upright Deflector</t>
  </si>
  <si>
    <t xml:space="preserve">Upper Deflector R/H (cab side extender, upper upright)</t>
  </si>
  <si>
    <t xml:space="preserve">CTP-DEF-015-R</t>
  </si>
  <si>
    <t xml:space="preserve">5704212CB45-G</t>
  </si>
  <si>
    <t xml:space="preserve">Upper/lower halves of the R/H upright pair with item 1. Alt: Lower Deflector R/H 5704222CB45-G if item 1 proves to be the front-wall vane.</t>
  </si>
  <si>
    <t xml:space="preserve">ORDER 21287 TOTAL</t>
  </si>
  <si>
    <t xml:space="preserve">GRAND TOTAL (ALL ORDERS THIS SHEET)</t>
  </si>
  <si>
    <t xml:space="preserve">CONFIDENCE:  HIGH = established match (prior order precedent / unambiguous cutout).  CONFIRM = best candidate — verify against vehicle before invoicing.</t>
  </si>
  <si>
    <t xml:space="preserve">Items 1 &amp; 5 read as the lower + upper halves of the R/H cab side extender (aerokit upright) behind the door; markups vs landed (9.2x / 8.5x) are mutually consistent.</t>
  </si>
  <si>
    <t xml:space="preserve">Stock alert: R/H Side Outer Panel Assembly and both deflector halves are 3-in-stock lines. Prices transcribed from Hermans' handwritten order of 27/07/2026.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</si>
</sst>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 &quot;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8A93A6"/>
      <name val="Arial"/>
      <family val="0"/>
      <charset val="1"/>
    </font>
    <font>
      <b val="true"/>
      <sz val="10"/>
      <color rgb="FF0F15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.5"/>
      <color rgb="FF0F1522"/>
      <name val="Arial"/>
      <family val="0"/>
      <charset val="1"/>
    </font>
    <font>
      <b val="true"/>
      <sz val="9.5"/>
      <color rgb="FFC8102E"/>
      <name val="Arial"/>
      <family val="0"/>
      <charset val="1"/>
    </font>
    <font>
      <sz val="10"/>
      <color rgb="FF0F1522"/>
      <name val="Arial"/>
      <family val="0"/>
      <charset val="1"/>
    </font>
    <font>
      <b val="true"/>
      <sz val="11"/>
      <color rgb="FFC8102E"/>
      <name val="Arial"/>
      <family val="0"/>
      <charset val="1"/>
    </font>
    <font>
      <b val="true"/>
      <sz val="9"/>
      <color rgb="FFFFE8B0"/>
      <name val="Arial"/>
      <family val="0"/>
      <charset val="1"/>
    </font>
    <font>
      <sz val="8.5"/>
      <color rgb="FF0F1522"/>
      <name val="Arial"/>
      <family val="0"/>
      <charset val="1"/>
    </font>
    <font>
      <b val="true"/>
      <sz val="9"/>
      <color rgb="FFC9F2D0"/>
      <name val="Arial"/>
      <family val="0"/>
      <charset val="1"/>
    </font>
    <font>
      <i val="true"/>
      <sz val="8"/>
      <color rgb="FF8A93A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1F3A"/>
        <bgColor rgb="FF0F1522"/>
      </patternFill>
    </fill>
    <fill>
      <patternFill patternType="solid">
        <fgColor rgb="FFC8102E"/>
        <bgColor rgb="FF993300"/>
      </patternFill>
    </fill>
    <fill>
      <patternFill patternType="solid">
        <fgColor rgb="FF132B4F"/>
        <bgColor rgb="FF0B1F3A"/>
      </patternFill>
    </fill>
    <fill>
      <patternFill patternType="solid">
        <fgColor rgb="FFF4F6FA"/>
        <bgColor rgb="FFFFFFFF"/>
      </patternFill>
    </fill>
    <fill>
      <patternFill patternType="solid">
        <fgColor rgb="FFFFFFFF"/>
        <bgColor rgb="FFF4F6FA"/>
      </patternFill>
    </fill>
    <fill>
      <patternFill patternType="solid">
        <fgColor rgb="FF8A5A00"/>
        <bgColor rgb="FF993300"/>
      </patternFill>
    </fill>
    <fill>
      <patternFill patternType="solid">
        <fgColor rgb="FFE9EDF4"/>
        <bgColor rgb="FFF4F6FA"/>
      </patternFill>
    </fill>
    <fill>
      <patternFill patternType="solid">
        <fgColor rgb="FF1E5631"/>
        <bgColor rgb="FF132B4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CEDB"/>
      </left>
      <right style="thin">
        <color rgb="FFC7CEDB"/>
      </right>
      <top style="thin">
        <color rgb="FFC7CEDB"/>
      </top>
      <bottom style="thin">
        <color rgb="FFC7CE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C0C0C0"/>
      <rgbColor rgb="FF808080"/>
      <rgbColor rgb="FF9999FF"/>
      <rgbColor rgb="FF993366"/>
      <rgbColor rgb="FFF4F6FA"/>
      <rgbColor rgb="FFE9EDF4"/>
      <rgbColor rgb="FF660066"/>
      <rgbColor rgb="FFFF8080"/>
      <rgbColor rgb="FF0066CC"/>
      <rgbColor rgb="FFC7CE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F2D0"/>
      <rgbColor rgb="FFFFE8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93A6"/>
      <rgbColor rgb="FF132B4F"/>
      <rgbColor rgb="FF339966"/>
      <rgbColor rgb="FF0B1F3A"/>
      <rgbColor rgb="FF0F1522"/>
      <rgbColor rgb="FF993300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9</xdr:row>
      <xdr:rowOff>0</xdr:rowOff>
    </xdr:from>
    <xdr:to>
      <xdr:col>6</xdr:col>
      <xdr:colOff>278640</xdr:colOff>
      <xdr:row>9</xdr:row>
      <xdr:rowOff>914040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520320" y="2143080"/>
          <a:ext cx="13712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278640</xdr:colOff>
      <xdr:row>10</xdr:row>
      <xdr:rowOff>914040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520320" y="3105000"/>
          <a:ext cx="13712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914040</xdr:colOff>
      <xdr:row>11</xdr:row>
      <xdr:rowOff>914040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6520320" y="406728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914040</xdr:colOff>
      <xdr:row>12</xdr:row>
      <xdr:rowOff>914040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6520320" y="50292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278640</xdr:colOff>
      <xdr:row>13</xdr:row>
      <xdr:rowOff>914040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6520320" y="5991120"/>
          <a:ext cx="1371240" cy="914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5.51"/>
    <col collapsed="false" customWidth="true" hidden="false" outlineLevel="0" max="7" min="7" style="0" width="5.51"/>
    <col collapsed="false" customWidth="true" hidden="false" outlineLevel="0" max="8" min="8" style="0" width="13.5"/>
    <col collapsed="false" customWidth="true" hidden="false" outlineLevel="0" max="9" min="9" style="0" width="8.5"/>
    <col collapsed="false" customWidth="true" hidden="false" outlineLevel="0" max="10" min="10" style="0" width="11"/>
    <col collapsed="false" customWidth="true" hidden="false" outlineLevel="0" max="11" min="11" style="0" width="4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5" t="s">
        <v>4</v>
      </c>
      <c r="G4" s="4" t="s">
        <v>5</v>
      </c>
      <c r="H4" s="4"/>
      <c r="I4" s="4"/>
      <c r="J4" s="4"/>
      <c r="K4" s="4"/>
    </row>
    <row r="5" customFormat="false" ht="15" hidden="false" customHeight="false" outlineLevel="0" collapsed="false">
      <c r="A5" s="3" t="s">
        <v>6</v>
      </c>
      <c r="B5" s="3"/>
      <c r="C5" s="4" t="s">
        <v>7</v>
      </c>
      <c r="D5" s="4"/>
      <c r="E5" s="4"/>
      <c r="F5" s="5" t="s">
        <v>8</v>
      </c>
      <c r="G5" s="4" t="s">
        <v>9</v>
      </c>
      <c r="H5" s="4"/>
      <c r="I5" s="4"/>
      <c r="J5" s="4"/>
      <c r="K5" s="4"/>
    </row>
    <row r="6" customFormat="false" ht="15" hidden="false" customHeight="false" outlineLevel="0" collapsed="false">
      <c r="A6" s="3" t="s">
        <v>10</v>
      </c>
      <c r="B6" s="3"/>
      <c r="C6" s="4" t="s">
        <v>11</v>
      </c>
      <c r="D6" s="4"/>
      <c r="E6" s="4"/>
      <c r="F6" s="5" t="s">
        <v>12</v>
      </c>
      <c r="G6" s="4" t="s">
        <v>13</v>
      </c>
      <c r="H6" s="4"/>
      <c r="I6" s="4"/>
      <c r="J6" s="4"/>
      <c r="K6" s="4"/>
    </row>
    <row r="8" customFormat="false" ht="21.75" hidden="false" customHeight="true" outlineLevel="0" collapsed="false">
      <c r="A8" s="6" t="s">
        <v>14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customFormat="false" ht="24" hidden="false" customHeight="true" outlineLevel="0" collapsed="false">
      <c r="A9" s="7" t="s">
        <v>15</v>
      </c>
      <c r="B9" s="7" t="s">
        <v>16</v>
      </c>
      <c r="C9" s="7" t="s">
        <v>17</v>
      </c>
      <c r="D9" s="7" t="s">
        <v>18</v>
      </c>
      <c r="E9" s="7" t="s">
        <v>19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24</v>
      </c>
      <c r="K9" s="7" t="s">
        <v>25</v>
      </c>
    </row>
    <row r="10" customFormat="false" ht="75.75" hidden="false" customHeight="true" outlineLevel="0" collapsed="false">
      <c r="A10" s="8" t="n">
        <v>1</v>
      </c>
      <c r="B10" s="9" t="s">
        <v>26</v>
      </c>
      <c r="C10" s="10" t="s">
        <v>27</v>
      </c>
      <c r="D10" s="11" t="s">
        <v>28</v>
      </c>
      <c r="E10" s="12" t="s">
        <v>29</v>
      </c>
      <c r="F10" s="13"/>
      <c r="G10" s="14" t="n">
        <v>1</v>
      </c>
      <c r="H10" s="15" t="n">
        <v>3614.82</v>
      </c>
      <c r="I10" s="16" t="n">
        <v>3</v>
      </c>
      <c r="J10" s="17" t="s">
        <v>30</v>
      </c>
      <c r="K10" s="18" t="s">
        <v>31</v>
      </c>
    </row>
    <row r="11" customFormat="false" ht="75.75" hidden="false" customHeight="true" outlineLevel="0" collapsed="false">
      <c r="A11" s="19" t="n">
        <v>2</v>
      </c>
      <c r="B11" s="20" t="s">
        <v>32</v>
      </c>
      <c r="C11" s="21" t="s">
        <v>33</v>
      </c>
      <c r="D11" s="22" t="s">
        <v>34</v>
      </c>
      <c r="E11" s="23" t="s">
        <v>35</v>
      </c>
      <c r="F11" s="13"/>
      <c r="G11" s="24" t="n">
        <v>1</v>
      </c>
      <c r="H11" s="25" t="n">
        <v>13913.2</v>
      </c>
      <c r="I11" s="26" t="n">
        <v>3</v>
      </c>
      <c r="J11" s="27" t="s">
        <v>36</v>
      </c>
      <c r="K11" s="28" t="s">
        <v>37</v>
      </c>
    </row>
    <row r="12" customFormat="false" ht="75.75" hidden="false" customHeight="true" outlineLevel="0" collapsed="false">
      <c r="A12" s="8" t="n">
        <v>3</v>
      </c>
      <c r="B12" s="9" t="s">
        <v>38</v>
      </c>
      <c r="C12" s="10" t="s">
        <v>39</v>
      </c>
      <c r="D12" s="11" t="s">
        <v>40</v>
      </c>
      <c r="E12" s="12" t="s">
        <v>41</v>
      </c>
      <c r="F12" s="13"/>
      <c r="G12" s="14" t="n">
        <v>1</v>
      </c>
      <c r="H12" s="15" t="n">
        <v>936.04</v>
      </c>
      <c r="I12" s="8" t="n">
        <v>5</v>
      </c>
      <c r="J12" s="27" t="s">
        <v>36</v>
      </c>
      <c r="K12" s="18" t="s">
        <v>42</v>
      </c>
    </row>
    <row r="13" customFormat="false" ht="75.75" hidden="false" customHeight="true" outlineLevel="0" collapsed="false">
      <c r="A13" s="19" t="n">
        <v>4</v>
      </c>
      <c r="B13" s="20" t="s">
        <v>43</v>
      </c>
      <c r="C13" s="21" t="s">
        <v>44</v>
      </c>
      <c r="D13" s="22" t="s">
        <v>45</v>
      </c>
      <c r="E13" s="23" t="s">
        <v>46</v>
      </c>
      <c r="F13" s="13"/>
      <c r="G13" s="24" t="n">
        <v>1</v>
      </c>
      <c r="H13" s="25" t="n">
        <v>2292.26</v>
      </c>
      <c r="I13" s="19" t="n">
        <v>5</v>
      </c>
      <c r="J13" s="17" t="s">
        <v>30</v>
      </c>
      <c r="K13" s="28" t="s">
        <v>47</v>
      </c>
    </row>
    <row r="14" customFormat="false" ht="75.75" hidden="false" customHeight="true" outlineLevel="0" collapsed="false">
      <c r="A14" s="8" t="n">
        <v>5</v>
      </c>
      <c r="B14" s="9" t="s">
        <v>48</v>
      </c>
      <c r="C14" s="10" t="s">
        <v>49</v>
      </c>
      <c r="D14" s="11" t="s">
        <v>50</v>
      </c>
      <c r="E14" s="12" t="s">
        <v>51</v>
      </c>
      <c r="F14" s="13"/>
      <c r="G14" s="14" t="n">
        <v>1</v>
      </c>
      <c r="H14" s="15" t="n">
        <v>2232.49</v>
      </c>
      <c r="I14" s="16" t="n">
        <v>3</v>
      </c>
      <c r="J14" s="17" t="s">
        <v>30</v>
      </c>
      <c r="K14" s="18" t="s">
        <v>52</v>
      </c>
    </row>
    <row r="15" customFormat="false" ht="19.5" hidden="false" customHeight="true" outlineLevel="0" collapsed="false">
      <c r="A15" s="29" t="s">
        <v>53</v>
      </c>
      <c r="B15" s="29"/>
      <c r="C15" s="29"/>
      <c r="D15" s="29"/>
      <c r="E15" s="29"/>
      <c r="F15" s="29"/>
      <c r="G15" s="29"/>
      <c r="H15" s="30" t="n">
        <f aca="false">SUM(H10:H14)</f>
        <v>22988.81</v>
      </c>
      <c r="I15" s="31"/>
      <c r="J15" s="31"/>
      <c r="K15" s="31"/>
    </row>
    <row r="16" customFormat="false" ht="21.75" hidden="false" customHeight="true" outlineLevel="0" collapsed="false">
      <c r="A16" s="32" t="s">
        <v>54</v>
      </c>
      <c r="B16" s="32"/>
      <c r="C16" s="32"/>
      <c r="D16" s="32"/>
      <c r="E16" s="32"/>
      <c r="F16" s="32"/>
      <c r="G16" s="32"/>
      <c r="H16" s="33" t="n">
        <f aca="false">H15</f>
        <v>22988.81</v>
      </c>
      <c r="I16" s="34"/>
      <c r="J16" s="34"/>
      <c r="K16" s="34"/>
    </row>
    <row r="18" customFormat="false" ht="21.75" hidden="false" customHeight="true" outlineLevel="0" collapsed="false">
      <c r="A18" s="35" t="s">
        <v>55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</row>
    <row r="19" customFormat="false" ht="21.75" hidden="false" customHeight="true" outlineLevel="0" collapsed="false">
      <c r="A19" s="35" t="s">
        <v>56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</row>
    <row r="20" customFormat="false" ht="21.75" hidden="false" customHeight="true" outlineLevel="0" collapsed="false">
      <c r="A20" s="35" t="s">
        <v>57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</row>
  </sheetData>
  <mergeCells count="17">
    <mergeCell ref="A1:K1"/>
    <mergeCell ref="A2:K2"/>
    <mergeCell ref="A4:B4"/>
    <mergeCell ref="C4:E4"/>
    <mergeCell ref="G4:K4"/>
    <mergeCell ref="A5:B5"/>
    <mergeCell ref="C5:E5"/>
    <mergeCell ref="G5:K5"/>
    <mergeCell ref="A6:B6"/>
    <mergeCell ref="C6:E6"/>
    <mergeCell ref="G6:K6"/>
    <mergeCell ref="A8:K8"/>
    <mergeCell ref="A15:G15"/>
    <mergeCell ref="A16:G16"/>
    <mergeCell ref="A18:K18"/>
    <mergeCell ref="A19:K19"/>
    <mergeCell ref="A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2026-07-27T13:35:50Z</dcterms:created>
  <dc:creator>openpyxl</dc:creator>
  <dc:description/>
  <dc:language>en-US</dc:language>
  <cp:lastModifiedBy/>
  <dcterms:modified xsi:type="dcterms:W3CDTF">2026-07-27T13:35:51Z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